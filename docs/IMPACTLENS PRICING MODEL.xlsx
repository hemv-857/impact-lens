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mpactLens Pricing" sheetId="1" state="visible" r:id="rId3"/>
    <sheet name="Cost Inputs" sheetId="2" state="visible" r:id="rId4"/>
    <sheet name="Price Benchmar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<sst xmlns="http://schemas.openxmlformats.org/spreadsheetml/2006/main" count="425" uniqueCount="292">
  <si>
    <t xml:space="preserve">ImpactLens subscription pricing model</t>
  </si>
  <si>
    <t xml:space="preserve">Phase 1 pricing for the AI impact and sustainability media platform: field evidence → AI insight → donor-ready reports.</t>
  </si>
  <si>
    <t xml:space="preserve">Model assumptions</t>
  </si>
  <si>
    <t xml:space="preserve">Annual billing discount</t>
  </si>
  <si>
    <t xml:space="preserve">Primary currency</t>
  </si>
  <si>
    <t xml:space="preserve">INR (₹). USD is shown as an indicative conversion.</t>
  </si>
  <si>
    <t xml:space="preserve">USD → INR rate (editable)</t>
  </si>
  <si>
    <t xml:space="preserve">Billing cycle options</t>
  </si>
  <si>
    <t xml:space="preserve">Monthly billing or annual billing</t>
  </si>
  <si>
    <t xml:space="preserve">Annual plan = discounted monthly charge</t>
  </si>
  <si>
    <t xml:space="preserve">Prices shown are per-month when billed annually</t>
  </si>
  <si>
    <t xml:space="preserve">Monthly plan price formula</t>
  </si>
  <si>
    <t xml:space="preserve">Cloudinary cost basis</t>
  </si>
  <si>
    <t xml:space="preserve">AI cost basis (assumption)</t>
  </si>
  <si>
    <t xml:space="preserve">Inputs: D6 (discount), D8 (USD→INR), tier prices (row 31), allowances (rows 18, 20, 22) and the unit costs on the 'Cost Inputs' sheet. Everything else is a formula. Competitor price context: 'Price Benchmark' sheet.
Colour key: blue on yellow is an input you can change, green is linked from another sheet, black is a formula.</t>
  </si>
  <si>
    <r>
      <rPr>
        <b val="true"/>
        <sz val="12"/>
        <color rgb="FF1F2937"/>
        <rFont val="Arial"/>
        <family val="0"/>
        <charset val="1"/>
      </rPr>
      <t xml:space="preserve">Cost basis (COGS) per org per month</t>
    </r>
    <r>
      <rPr>
        <sz val="9"/>
        <color rgb="FF6B7280"/>
        <rFont val="Arial"/>
        <family val="0"/>
        <charset val="1"/>
      </rPr>
      <t xml:space="preserve">    Cloudinary + AI</t>
    </r>
  </si>
  <si>
    <t xml:space="preserve">Cost line item</t>
  </si>
  <si>
    <t xml:space="preserve">Starter
(Low)</t>
  </si>
  <si>
    <t xml:space="preserve">Pro
(Mid)</t>
  </si>
  <si>
    <t xml:space="preserve">Enterprise
(High)</t>
  </si>
  <si>
    <t xml:space="preserve">Credits &amp; AI allowances set the tier's cost floor; prices below carry the margin.</t>
  </si>
  <si>
    <t xml:space="preserve">Cloudinary credits included / mo</t>
  </si>
  <si>
    <t xml:space="preserve">Cloudinary cost (credits × ₹34)</t>
  </si>
  <si>
    <t xml:space="preserve">AI vision analyses included / mo</t>
  </si>
  <si>
    <t xml:space="preserve">AI analysis cost (× ₹0.90)</t>
  </si>
  <si>
    <t xml:space="preserve">Reports + semantic searches cost (₹)</t>
  </si>
  <si>
    <t xml:space="preserve">Total estimated COGS (₹/mo)</t>
  </si>
  <si>
    <t xml:space="preserve">Price, annual plan (₹/mo)</t>
  </si>
  <si>
    <t xml:space="preserve">Gross margin (%)</t>
  </si>
  <si>
    <r>
      <rPr>
        <b val="true"/>
        <sz val="12"/>
        <color rgb="FF1F2937"/>
        <rFont val="Arial"/>
        <family val="0"/>
        <charset val="1"/>
      </rPr>
      <t xml:space="preserve">Pricing tiers</t>
    </r>
    <r>
      <rPr>
        <sz val="9"/>
        <color rgb="FF6B7280"/>
        <rFont val="Arial"/>
        <family val="0"/>
        <charset val="1"/>
      </rPr>
      <t xml:space="preserve">    Annual vs monthly billing</t>
    </r>
  </si>
  <si>
    <t xml:space="preserve">Monthly billing (no discount)</t>
  </si>
  <si>
    <t xml:space="preserve">Metric</t>
  </si>
  <si>
    <t xml:space="preserve">Starter
(Low maturity)</t>
  </si>
  <si>
    <t xml:space="preserve">Pro
(Mid maturity)</t>
  </si>
  <si>
    <t xml:space="preserve">Enterprise
(High maturity)</t>
  </si>
  <si>
    <t xml:space="preserve">Impact evidence maturity level</t>
  </si>
  <si>
    <t xml:space="preserve">Low</t>
  </si>
  <si>
    <t xml:space="preserve">Mid</t>
  </si>
  <si>
    <t xml:space="preserve">High</t>
  </si>
  <si>
    <t xml:space="preserve">Per-month price, annual plan (₹)</t>
  </si>
  <si>
    <t xml:space="preserve">N/A (see below)</t>
  </si>
  <si>
    <t xml:space="preserve">Per-month price, annual plan (USD)</t>
  </si>
  <si>
    <t xml:space="preserve">Annual discount applied</t>
  </si>
  <si>
    <t xml:space="preserve">None</t>
  </si>
  <si>
    <t xml:space="preserve">Effective monthly charge (₹)</t>
  </si>
  <si>
    <t xml:space="preserve">Total amount billed per year (₹)</t>
  </si>
  <si>
    <t xml:space="preserve">Monthly billing plan</t>
  </si>
  <si>
    <t xml:space="preserve">Per-month price, monthly plan (₹)</t>
  </si>
  <si>
    <t xml:space="preserve">-</t>
  </si>
  <si>
    <t xml:space="preserve">Annual equivalent cost (×12) (₹)</t>
  </si>
  <si>
    <t xml:space="preserve">Savings analysis</t>
  </si>
  <si>
    <t xml:space="preserve">You save per year by billing annually (₹)</t>
  </si>
  <si>
    <t xml:space="preserve">Discount captured (%)</t>
  </si>
  <si>
    <r>
      <rPr>
        <b val="true"/>
        <sz val="12"/>
        <color rgb="FF1F2937"/>
        <rFont val="Arial"/>
        <family val="0"/>
        <charset val="1"/>
      </rPr>
      <t xml:space="preserve">Quick reference</t>
    </r>
    <r>
      <rPr>
        <sz val="9"/>
        <color rgb="FF6B7280"/>
        <rFont val="Arial"/>
        <family val="0"/>
        <charset val="1"/>
      </rPr>
      <t xml:space="preserve">    Price summary</t>
    </r>
  </si>
  <si>
    <t xml:space="preserve">Tier</t>
  </si>
  <si>
    <t xml:space="preserve">Per month (annual, ₹)</t>
  </si>
  <si>
    <t xml:space="preserve">Total per year (₹)</t>
  </si>
  <si>
    <t xml:space="preserve">Per month (annual, USD)</t>
  </si>
  <si>
    <t xml:space="preserve">You save / year (₹)</t>
  </si>
  <si>
    <t xml:space="preserve">Starter</t>
  </si>
  <si>
    <t xml:space="preserve">Pro</t>
  </si>
  <si>
    <t xml:space="preserve">Enterprise</t>
  </si>
  <si>
    <t xml:space="preserve">Tier feature overview</t>
  </si>
  <si>
    <t xml:space="preserve">Feature</t>
  </si>
  <si>
    <t xml:space="preserve">Starter (Low)</t>
  </si>
  <si>
    <t xml:space="preserve">Pro (Mid)</t>
  </si>
  <si>
    <t xml:space="preserve">Enterprise (High)</t>
  </si>
  <si>
    <t xml:space="preserve">Organizations (multi-tenant)</t>
  </si>
  <si>
    <t xml:space="preserve">1</t>
  </si>
  <si>
    <t xml:space="preserve">Unlimited</t>
  </si>
  <si>
    <t xml:space="preserve">Team seats</t>
  </si>
  <si>
    <t xml:space="preserve">3</t>
  </si>
  <si>
    <t xml:space="preserve">10</t>
  </si>
  <si>
    <t xml:space="preserve">Media assets in library</t>
  </si>
  <si>
    <t xml:space="preserve">250</t>
  </si>
  <si>
    <t xml:space="preserve">5,000</t>
  </si>
  <si>
    <t xml:space="preserve">VLM analysis, images (per mo)</t>
  </si>
  <si>
    <t xml:space="preserve">100</t>
  </si>
  <si>
    <t xml:space="preserve">1,000</t>
  </si>
  <si>
    <t xml:space="preserve">Video analysis (ffmpeg frame sampling)</t>
  </si>
  <si>
    <t xml:space="preserve">✓</t>
  </si>
  <si>
    <t xml:space="preserve">Before/after comparison + impact score</t>
  </si>
  <si>
    <t xml:space="preserve">5 / mo</t>
  </si>
  <si>
    <t xml:space="preserve">100 / mo</t>
  </si>
  <si>
    <t xml:space="preserve">Semantic search (LLM-scored)</t>
  </si>
  <si>
    <t xml:space="preserve">Saved searches</t>
  </si>
  <si>
    <t xml:space="preserve">50</t>
  </si>
  <si>
    <t xml:space="preserve">Impact / summary reports (LLM)</t>
  </si>
  <si>
    <t xml:space="preserve">3 / mo</t>
  </si>
  <si>
    <t xml:space="preserve">30 / mo</t>
  </si>
  <si>
    <t xml:space="preserve">150 / mo</t>
  </si>
  <si>
    <t xml:space="preserve">Report variants (4 angles) + clone</t>
  </si>
  <si>
    <t xml:space="preserve">Campaign copy: IG / X / LinkedIn / newsletter</t>
  </si>
  <si>
    <t xml:space="preserve">Scheduled reports + email delivery (cron)</t>
  </si>
  <si>
    <t xml:space="preserve">Public share links (/share/[token])</t>
  </si>
  <si>
    <t xml:space="preserve">Project leaderboard + health score</t>
  </si>
  <si>
    <t xml:space="preserve">Cloudinary CDN credits included</t>
  </si>
  <si>
    <t xml:space="preserve">150</t>
  </si>
  <si>
    <t xml:space="preserve">CSV export + bulk verify</t>
  </si>
  <si>
    <t xml:space="preserve">SSO / RBAC / audit log</t>
  </si>
  <si>
    <t xml:space="preserve">Phase 2</t>
  </si>
  <si>
    <t xml:space="preserve">Support</t>
  </si>
  <si>
    <t xml:space="preserve">Email</t>
  </si>
  <si>
    <t xml:space="preserve">Email + Chat</t>
  </si>
  <si>
    <t xml:space="preserve">Dedicated + SLA</t>
  </si>
  <si>
    <r>
      <rPr>
        <b val="true"/>
        <sz val="12"/>
        <color rgb="FF1F2937"/>
        <rFont val="Arial"/>
        <family val="0"/>
        <charset val="1"/>
      </rPr>
      <t xml:space="preserve">Phase 2 pricing trajectory</t>
    </r>
    <r>
      <rPr>
        <sz val="9"/>
        <color rgb="FF6B7280"/>
        <rFont val="Arial"/>
        <family val="0"/>
        <charset val="1"/>
      </rPr>
      <t xml:space="preserve">    SSO, audit trail, public API, verifier workflow</t>
    </r>
  </si>
  <si>
    <t xml:space="preserve">Trigger</t>
  </si>
  <si>
    <t xml:space="preserve">50 paying orgs + public API pilot + funder-verification pilots closed</t>
  </si>
  <si>
    <t xml:space="preserve">Expected uplift</t>
  </si>
  <si>
    <t xml:space="preserve">Prices rise once SSO, RBAC, the audit log and the public API ship; evidence-grade compliance commands a premium.</t>
  </si>
  <si>
    <t xml:space="preserve">Starter Phase 2</t>
  </si>
  <si>
    <t xml:space="preserve">₹2,999/mo → ₹4,000-₹5,000/mo (public API + 500 analyses/mo)</t>
  </si>
  <si>
    <t xml:space="preserve">Pro Phase 2</t>
  </si>
  <si>
    <t xml:space="preserve">₹7,999/mo → ₹12,000-₹15,000/mo (SSO + audit trail + unlimited semantic search)</t>
  </si>
  <si>
    <t xml:space="preserve">Enterprise Phase 2</t>
  </si>
  <si>
    <t xml:space="preserve">₹19,999/mo → ₹29,000-₹39,000/mo (multi-funder dashboards + verifier sign-off + 99.9% SLA)</t>
  </si>
  <si>
    <t xml:space="preserve">Rationale</t>
  </si>
  <si>
    <t xml:space="preserve">Verification workflow, SSO/RBAC, immutable audit log, public API, BYOC storage, 99.9% uptime SLA</t>
  </si>
  <si>
    <t xml:space="preserve">ImpactLens Phase 1 subscription pricing. All prices in INR (₹); USD is indicative at the rate in D8. Subject to revision as the product scales.</t>
  </si>
  <si>
    <t xml:space="preserve">Cost inputs, reconciliation and stress tests</t>
  </si>
  <si>
    <t xml:space="preserve">Companion to 'ImpactLens Pricing'. Unit costs moved out of formulas (same values, so no existing number changed). Yellow cells with blue text are inputs; amber cells are missing inputs to fill; green text links to another sheet. Audited 2026-09-29.</t>
  </si>
  <si>
    <r>
      <rPr>
        <b val="true"/>
        <sz val="12"/>
        <color rgb="FF1F2937"/>
        <rFont val="Arial"/>
        <family val="0"/>
        <charset val="1"/>
      </rPr>
      <t xml:space="preserve">1. Unit cost inputs</t>
    </r>
    <r>
      <rPr>
        <sz val="9"/>
        <color rgb="FF6B7280"/>
        <rFont val="Arial"/>
        <family val="0"/>
        <charset val="1"/>
      </rPr>
      <t xml:space="preserve">    Feed 'ImpactLens Pricing' rows 19 and 21, and section 4 below</t>
    </r>
  </si>
  <si>
    <t xml:space="preserve">Input</t>
  </si>
  <si>
    <t xml:space="preserve">Value</t>
  </si>
  <si>
    <t xml:space="preserve">Source / status</t>
  </si>
  <si>
    <t xml:space="preserve">₹ per Cloudinary credit</t>
  </si>
  <si>
    <t xml:space="preserve">Original model value. UNVERIFIED and inconsistent with the published price (section 2).</t>
  </si>
  <si>
    <t xml:space="preserve">₹ per vision analysis (image)</t>
  </si>
  <si>
    <t xml:space="preserve">Original assumption, not measured. AiUsageLog stores duration and status, not tokens, so real cost per asset cannot be computed yet.</t>
  </si>
  <si>
    <t xml:space="preserve">₹ per impact report</t>
  </si>
  <si>
    <t xml:space="preserve">Original assumption (main sheet D13).</t>
  </si>
  <si>
    <t xml:space="preserve">₹ per semantic search</t>
  </si>
  <si>
    <t xml:space="preserve">Original assumption. Holds only while the LLM prompt is capped: search now sends at most 120 candidate assets (Rev. 4); before that, prompt size grew with library size.</t>
  </si>
  <si>
    <r>
      <rPr>
        <b val="true"/>
        <sz val="12"/>
        <color rgb="FF1F2937"/>
        <rFont val="Arial"/>
        <family val="0"/>
        <charset val="1"/>
      </rPr>
      <t xml:space="preserve">2. Cloudinary reconciliation</t>
    </r>
    <r>
      <rPr>
        <sz val="9"/>
        <color rgb="FF6B7280"/>
        <rFont val="Arial"/>
        <family val="0"/>
        <charset val="1"/>
      </rPr>
      <t xml:space="preserve">    Published prices, https://cloudinary.com/pricing, verified 2026-09-29</t>
    </r>
  </si>
  <si>
    <t xml:space="preserve">Plus plan, annual billing ($/mo)</t>
  </si>
  <si>
    <t xml:space="preserve">Published.</t>
  </si>
  <si>
    <t xml:space="preserve">Plus plan, monthly billing ($/mo)</t>
  </si>
  <si>
    <t xml:space="preserve">Credits included on Plus (per month)</t>
  </si>
  <si>
    <t xml:space="preserve">Published. 1 credit = 1,000 transformations OR 1 GB storage OR 1 GB image bandwidth (2 GB video).</t>
  </si>
  <si>
    <t xml:space="preserve">USD → INR (linked from main sheet D8)</t>
  </si>
  <si>
    <t xml:space="preserve">Linked: retype D8 on the main sheet.</t>
  </si>
  <si>
    <t xml:space="preserve">Implied ₹ per credit, annual billing</t>
  </si>
  <si>
    <t xml:space="preserve">Calculated.</t>
  </si>
  <si>
    <t xml:space="preserve">Implied ₹ per credit, monthly billing</t>
  </si>
  <si>
    <t xml:space="preserve">Model ₹/credit (C7) vs published, annual billing</t>
  </si>
  <si>
    <t xml:space="preserve">Negative = the model under-states Cloudinary cost.</t>
  </si>
  <si>
    <t xml:space="preserve">Reading: the model's own basis ($89 for 225 credits) converts to the value in C17 at its own FX rate, not the value in C7. Cloudinary bills one shared pool, so per-org credits here are a pro-rata allocation, and the fixed plan minimum ($89-$224/mo) is not modelled. Neither number is changed here: C7 is the pricing owner's call.</t>
  </si>
  <si>
    <r>
      <rPr>
        <b val="true"/>
        <sz val="12"/>
        <color rgb="FF1F2937"/>
        <rFont val="Arial"/>
        <family val="0"/>
        <charset val="1"/>
      </rPr>
      <t xml:space="preserve">3. Gross margin</t>
    </r>
    <r>
      <rPr>
        <sz val="9"/>
        <color rgb="FF6B7280"/>
        <rFont val="Arial"/>
        <family val="0"/>
        <charset val="1"/>
      </rPr>
      <t xml:space="preserve">    Model vs published Cloudinary rate vs all-video upper bound</t>
    </r>
  </si>
  <si>
    <t xml:space="preserve">Line</t>
  </si>
  <si>
    <t xml:space="preserve">Note</t>
  </si>
  <si>
    <t xml:space="preserve">Linked.</t>
  </si>
  <si>
    <t xml:space="preserve">COGS in the model (₹/mo)</t>
  </si>
  <si>
    <t xml:space="preserve">Linked to main sheet row 23.</t>
  </si>
  <si>
    <t xml:space="preserve">Gross margin in the model</t>
  </si>
  <si>
    <t xml:space="preserve">Falls as the tier rises: Enterprise is the thinnest, and it is the tier with unlimited assets, orgs, seats and comparisons.</t>
  </si>
  <si>
    <t xml:space="preserve">COGS at the published Cloudinary rate (₹/mo)</t>
  </si>
  <si>
    <t xml:space="preserve">Same as the model but credits priced at C17.</t>
  </si>
  <si>
    <t xml:space="preserve">Gross margin at the published rate</t>
  </si>
  <si>
    <t xml:space="preserve">Compare with row 26.</t>
  </si>
  <si>
    <t xml:space="preserve">Frames sent per video (input)</t>
  </si>
  <si>
    <t xml:space="preserve">Code fact: ffmpeg sampling is capped at 6 frames per video (videoFramesAsParts in src/lib/ai.ts).</t>
  </si>
  <si>
    <t xml:space="preserve">COGS if every analysis is a video (₹/mo)</t>
  </si>
  <si>
    <t xml:space="preserve">Starter has no video, so unchanged. Pro/Enterprise: AI line × frames per video.</t>
  </si>
  <si>
    <t xml:space="preserve">Gross margin, all-video upper bound</t>
  </si>
  <si>
    <t xml:space="preserve">Negative = the tier loses money if its analysis allowance is used on video.</t>
  </si>
  <si>
    <t xml:space="preserve">Reading: row 31 is an upper bound. Frames are downscaled to 640 px, so a frame likely costs less than a full image, but that is unmeasured. The allowance says '1,000 analyses' without saying whether a video is one unit or up to six. Define the unit before selling it.</t>
  </si>
  <si>
    <r>
      <rPr>
        <b val="true"/>
        <sz val="12"/>
        <color rgb="FF1F2937"/>
        <rFont val="Arial"/>
        <family val="0"/>
        <charset val="1"/>
      </rPr>
      <t xml:space="preserve">4. What main-sheet row 22 silently assumes</t>
    </r>
    <r>
      <rPr>
        <sz val="9"/>
        <color rgb="FF6B7280"/>
        <rFont val="Arial"/>
        <family val="0"/>
        <charset val="1"/>
      </rPr>
      <t xml:space="preserve">    Row 22 is 'Reports + semantic searches cost'</t>
    </r>
  </si>
  <si>
    <t xml:space="preserve">Impact reports per month (feature table row 60)</t>
  </si>
  <si>
    <t xml:space="preserve">Typed from the feature table ('3 / mo', '30 / mo', '150 / mo').</t>
  </si>
  <si>
    <t xml:space="preserve">Cost of those reports (₹)</t>
  </si>
  <si>
    <t xml:space="preserve">Budget left in row 22 for searches (₹)</t>
  </si>
  <si>
    <t xml:space="preserve">Implied semantic searches per month</t>
  </si>
  <si>
    <t xml:space="preserve">Row 22 is a typed number. It implies these search volumes, but the feature table shows search as a bare tick for Pro and Enterprise.</t>
  </si>
  <si>
    <r>
      <rPr>
        <b val="true"/>
        <sz val="12"/>
        <color rgb="FF1F2937"/>
        <rFont val="Arial"/>
        <family val="0"/>
        <charset val="1"/>
      </rPr>
      <t xml:space="preserve">5. Usage not costed anywhere</t>
    </r>
    <r>
      <rPr>
        <sz val="9"/>
        <color rgb="FF6B7280"/>
        <rFont val="Arial"/>
        <family val="0"/>
        <charset val="1"/>
      </rPr>
      <t xml:space="preserve">    Amber = enter a value after measuring; blank counts as zero</t>
    </r>
  </si>
  <si>
    <t xml:space="preserve">Starter / mo</t>
  </si>
  <si>
    <t xml:space="preserve">Pro / mo</t>
  </si>
  <si>
    <t xml:space="preserve">Enterprise / mo</t>
  </si>
  <si>
    <t xml:space="preserve">Unit cost (₹)</t>
  </si>
  <si>
    <t xml:space="preserve">Before/after comparisons (feature table: 5 / 100 / unlimited)</t>
  </si>
  <si>
    <t xml:space="preserve">Enterprise is 'unlimited': enter a planning volume in E43. Each call sends two images.</t>
  </si>
  <si>
    <t xml:space="preserve">Campaign copy generations (no cap in the feature table)</t>
  </si>
  <si>
    <t xml:space="preserve">Enter expected volumes per tier.</t>
  </si>
  <si>
    <t xml:space="preserve">COGS added by these lines (₹/mo)</t>
  </si>
  <si>
    <t xml:space="preserve">Gross margin including these lines</t>
  </si>
  <si>
    <t xml:space="preserve">Also absent from COGS: scheduled-report runs, image generation, hosting, support (Enterprise promises a dedicated contact and SLA), payment-gateway fees and taxes. None is estimated here because the repository holds no measurement for them.</t>
  </si>
  <si>
    <t xml:space="preserve">Price context: public list prices vs ImpactLens</t>
  </si>
  <si>
    <t xml:space="preserve">Read from vendor pages on 2026-09-29 (source register: docs/competitors.csv). These are different products (report writers, form-based M&amp;E, field capture, M&amp;E suites), so this is context for a pricing conversation, not a like-for-like comparison. Blue text = typed from a source; black = calculated; green = linked from the model. ₹ at the FX rate in 'ImpactLens Pricing'!D8.</t>
  </si>
  <si>
    <r>
      <rPr>
        <b val="true"/>
        <sz val="12"/>
        <color rgb="FF1F2937"/>
        <rFont val="Arial"/>
        <family val="0"/>
        <charset val="1"/>
      </rPr>
      <t xml:space="preserve">ImpactLens</t>
    </r>
    <r>
      <rPr>
        <sz val="9"/>
        <color rgb="FF6B7280"/>
        <rFont val="Arial"/>
        <family val="0"/>
        <charset val="1"/>
      </rPr>
      <t xml:space="preserve">    Linked to the model, annual-billing price per month</t>
    </r>
  </si>
  <si>
    <t xml:space="preserve">USD / month</t>
  </si>
  <si>
    <t xml:space="preserve">₹ / month</t>
  </si>
  <si>
    <t xml:space="preserve">× ImpactLens Pro</t>
  </si>
  <si>
    <t xml:space="preserve">ImpactLens Starter</t>
  </si>
  <si>
    <t xml:space="preserve">ImpactLens Pro</t>
  </si>
  <si>
    <t xml:space="preserve">ImpactLens Enterprise</t>
  </si>
  <si>
    <r>
      <rPr>
        <b val="true"/>
        <sz val="12"/>
        <color rgb="FF1F2937"/>
        <rFont val="Arial"/>
        <family val="0"/>
        <charset val="1"/>
      </rPr>
      <t xml:space="preserve">Competitor and adjacent prices</t>
    </r>
    <r>
      <rPr>
        <sz val="9"/>
        <color rgb="FF6B7280"/>
        <rFont val="Arial"/>
        <family val="0"/>
        <charset val="1"/>
      </rPr>
      <t xml:space="preserve">    Paid, public, monthly equivalent, sorted by price</t>
    </r>
  </si>
  <si>
    <t xml:space="preserve">Vendor · plan</t>
  </si>
  <si>
    <t xml:space="preserve">Role</t>
  </si>
  <si>
    <t xml:space="preserve">What the price covers</t>
  </si>
  <si>
    <t xml:space="preserve">How USD / month was derived</t>
  </si>
  <si>
    <t xml:space="preserve">One-time / minimum</t>
  </si>
  <si>
    <t xml:space="preserve">Source</t>
  </si>
  <si>
    <t xml:space="preserve">Verified</t>
  </si>
  <si>
    <t xml:space="preserve">Confidence</t>
  </si>
  <si>
    <t xml:space="preserve">ImpactDraft · Basic</t>
  </si>
  <si>
    <t xml:space="preserve">report-ai</t>
  </si>
  <si>
    <t xml:space="preserve">30 donor reports/mo, 7 types, 5 languages; text only</t>
  </si>
  <si>
    <t xml:space="preserve">list price</t>
  </si>
  <si>
    <t xml:space="preserve">3-report free demo</t>
  </si>
  <si>
    <t xml:space="preserve">https://impactdraft.org</t>
  </si>
  <si>
    <t xml:space="preserve">2026-09-29</t>
  </si>
  <si>
    <t xml:space="preserve">ImpactDraft · Pro</t>
  </si>
  <si>
    <t xml:space="preserve">100 reports/mo</t>
  </si>
  <si>
    <t xml:space="preserve">TextIt (hosted RapidPro)</t>
  </si>
  <si>
    <t xml:space="preserve">channel</t>
  </si>
  <si>
    <t xml:space="preserve">SMS/WhatsApp messaging, first 1,000 messaged contacts</t>
  </si>
  <si>
    <t xml:space="preserve">+$0.01 per extra contact</t>
  </si>
  <si>
    <t xml:space="preserve">https://textit.com/pricing</t>
  </si>
  <si>
    <t xml:space="preserve">ImpactDraft · Enterprise</t>
  </si>
  <si>
    <t xml:space="preserve">Unlimited reports</t>
  </si>
  <si>
    <t xml:space="preserve">CommCare · Standard</t>
  </si>
  <si>
    <t xml:space="preserve">capture</t>
  </si>
  <si>
    <t xml:space="preserve">Mobile data collection; billed annually</t>
  </si>
  <si>
    <t xml:space="preserve">https://commcare.dimagi.com/pricing/</t>
  </si>
  <si>
    <t xml:space="preserve">Fulcrum · Professional</t>
  </si>
  <si>
    <t xml:space="preserve">Field capture: photo, video, GPS, offline</t>
  </si>
  <si>
    <t xml:space="preserve">$43 per user × 5-user minimum</t>
  </si>
  <si>
    <t xml:space="preserve">annual subscription</t>
  </si>
  <si>
    <t xml:space="preserve">https://www.fulcrumapp.com/pricing</t>
  </si>
  <si>
    <t xml:space="preserve">Fulcrum · Elite</t>
  </si>
  <si>
    <t xml:space="preserve">Adds AI audio FastFill, Esri connectivity</t>
  </si>
  <si>
    <t xml:space="preserve">$55 per user × 5-user minimum</t>
  </si>
  <si>
    <t xml:space="preserve">Sopact · Power</t>
  </si>
  <si>
    <t xml:space="preserve">2 users, 500 AI analyses/yr, 1,500 form responses; forms/files, not photo analysis</t>
  </si>
  <si>
    <t xml:space="preserve">list price, billed annually</t>
  </si>
  <si>
    <t xml:space="preserve">setup from $2,000 (10 h × $200)</t>
  </si>
  <si>
    <t xml:space="preserve">https://sopact.com/pricing</t>
  </si>
  <si>
    <t xml:space="preserve">CommCare · Pro</t>
  </si>
  <si>
    <t xml:space="preserve">Mid tier; billed annually</t>
  </si>
  <si>
    <t xml:space="preserve">Sopact · Growth</t>
  </si>
  <si>
    <t xml:space="preserve">3 users, 2,000 AI analyses/yr, Power BI/Tableau, MCP</t>
  </si>
  <si>
    <t xml:space="preserve">setup from $2,000</t>
  </si>
  <si>
    <t xml:space="preserve">CommCare · Advanced</t>
  </si>
  <si>
    <t xml:space="preserve">Upper tier; billed annually</t>
  </si>
  <si>
    <t xml:space="preserve">DevResults · program ≤ $5M</t>
  </si>
  <si>
    <t xml:space="preserve">M&amp;E suite</t>
  </si>
  <si>
    <t xml:space="preserve">Unlimited users and storage; priced by the funder's program size</t>
  </si>
  <si>
    <t xml:space="preserve">$28,000/yr ÷ 12</t>
  </si>
  <si>
    <t xml:space="preserve">setup $33,800 + training $5,000-15,000</t>
  </si>
  <si>
    <t xml:space="preserve">https://www.devresults.com/pricing</t>
  </si>
  <si>
    <t xml:space="preserve">CommCare · Enterprise (from)</t>
  </si>
  <si>
    <t xml:space="preserve">Custom; '$4,000+'</t>
  </si>
  <si>
    <t xml:space="preserve">starting price</t>
  </si>
  <si>
    <t xml:space="preserve">DevResults · program ≤ $25M</t>
  </si>
  <si>
    <t xml:space="preserve">As above</t>
  </si>
  <si>
    <t xml:space="preserve">$49,000/yr ÷ 12</t>
  </si>
  <si>
    <t xml:space="preserve">setup $57,000</t>
  </si>
  <si>
    <t xml:space="preserve">DevResults · program ≤ $50M</t>
  </si>
  <si>
    <t xml:space="preserve">$70,000/yr ÷ 12</t>
  </si>
  <si>
    <t xml:space="preserve">setup $80,200</t>
  </si>
  <si>
    <r>
      <rPr>
        <b val="true"/>
        <sz val="12"/>
        <color rgb="FF1F2937"/>
        <rFont val="Arial"/>
        <family val="0"/>
        <charset val="1"/>
      </rPr>
      <t xml:space="preserve">Summary</t>
    </r>
    <r>
      <rPr>
        <sz val="9"/>
        <color rgb="FF6B7280"/>
        <rFont val="Arial"/>
        <family val="0"/>
        <charset val="1"/>
      </rPr>
      <t xml:space="preserve">    Calculated from the rows above</t>
    </r>
  </si>
  <si>
    <t xml:space="preserve">Cheapest listed plan (USD / month)</t>
  </si>
  <si>
    <t xml:space="preserve">Median listed plan (USD / month)</t>
  </si>
  <si>
    <t xml:space="preserve">Most expensive listed plan (USD / month)</t>
  </si>
  <si>
    <t xml:space="preserve">Plans priced below ImpactLens Starter</t>
  </si>
  <si>
    <t xml:space="preserve">Mostly text-only report writers (ImpactDraft) and messaging.</t>
  </si>
  <si>
    <t xml:space="preserve">Plans priced above ImpactLens Enterprise</t>
  </si>
  <si>
    <t xml:space="preserve">Mostly M&amp;E suites priced by program size.</t>
  </si>
  <si>
    <r>
      <rPr>
        <b val="true"/>
        <sz val="12"/>
        <color rgb="FF1F2937"/>
        <rFont val="Arial"/>
        <family val="0"/>
        <charset val="1"/>
      </rPr>
      <t xml:space="preserve">No comparable number</t>
    </r>
    <r>
      <rPr>
        <sz val="9"/>
        <color rgb="FF6B7280"/>
        <rFont val="Arial"/>
        <family val="0"/>
        <charset val="1"/>
      </rPr>
      <t xml:space="preserve">    Do not guess: each needs a quote request or a page check</t>
    </r>
  </si>
  <si>
    <t xml:space="preserve">Vendor</t>
  </si>
  <si>
    <t xml:space="preserve">Why there is no comparable price</t>
  </si>
  <si>
    <t xml:space="preserve">Action</t>
  </si>
  <si>
    <t xml:space="preserve">BNZ Impact</t>
  </si>
  <si>
    <t xml:space="preserve">Demo/consultation only; no pricing on page.</t>
  </si>
  <si>
    <t xml:space="preserve">Request a quote. Closest verified match for baseline photos + evidence packs.</t>
  </si>
  <si>
    <t xml:space="preserve">Sealr (UNDP Digital X)</t>
  </si>
  <si>
    <t xml:space="preserve">Digital Public Good catalogue entry; no price; page dated 2022.</t>
  </si>
  <si>
    <t xml:space="preserve">Confirm the product is live and how it is licensed.</t>
  </si>
  <si>
    <t xml:space="preserve">ReportsAI</t>
  </si>
  <si>
    <t xml:space="preserve">Home page has no price; /pricing returned 404.</t>
  </si>
  <si>
    <t xml:space="preserve">Check the app or ask sales. Nearest match for SDG/IRIS+/GRI reporting.</t>
  </si>
  <si>
    <t xml:space="preserve">engage by Kindsight</t>
  </si>
  <si>
    <t xml:space="preserve">No pricing on page.</t>
  </si>
  <si>
    <t xml:space="preserve">Request a quote.</t>
  </si>
  <si>
    <t xml:space="preserve">Ecodrive ImpactIQ</t>
  </si>
  <si>
    <t xml:space="preserve">$0.45 per impact unit, or a $50k/yr impact commitment: funding spent on projects, not a software fee.</t>
  </si>
  <si>
    <t xml:space="preserve">Not comparable to a subscription. Do not benchmark against it.</t>
  </si>
  <si>
    <t xml:space="preserve">Tella · KoboToolbox · OSS references</t>
  </si>
  <si>
    <t xml:space="preserve">Free (Tella states 'free forever'; MIRL Aftermath and impact-vision are open source).</t>
  </si>
  <si>
    <t xml:space="preserve">Treat as $0 substitutes for capture only.</t>
  </si>
  <si>
    <t xml:space="preserve">Cloudinary Plus (input cost)</t>
  </si>
  <si>
    <t xml:space="preserve">$89/mo annual, 225 credits: a supplier cost, not a rival.</t>
  </si>
  <si>
    <t xml:space="preserve">See 'Cost Inputs' section 2.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</si>
</sst>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"/>
    <numFmt numFmtId="167" formatCode="\₹#,##0;[RED]&quot;(₹&quot;#,##0\);\-"/>
    <numFmt numFmtId="168" formatCode="#,##0"/>
    <numFmt numFmtId="169" formatCode="0.0%;[RED]\-0.0%"/>
    <numFmt numFmtId="170" formatCode="\$#,##0"/>
    <numFmt numFmtId="171" formatCode="\₹#,##0.0"/>
    <numFmt numFmtId="172" formatCode="0"/>
    <numFmt numFmtId="173" formatCode="0.0\x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1F2937"/>
      <name val="Arial"/>
      <family val="0"/>
      <charset val="1"/>
    </font>
    <font>
      <b val="true"/>
      <sz val="20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2"/>
      <color rgb="FF1F2937"/>
      <name val="Arial"/>
      <family val="0"/>
      <charset val="1"/>
    </font>
    <font>
      <sz val="10"/>
      <color rgb="FF1D4ED8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9"/>
      <color rgb="FF374151"/>
      <name val="Arial"/>
      <family val="0"/>
      <charset val="1"/>
    </font>
    <font>
      <sz val="10"/>
      <color rgb="FF15803D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374151"/>
      <name val="Arial"/>
      <family val="0"/>
      <charset val="1"/>
    </font>
    <font>
      <sz val="10"/>
      <color rgb="FF9CA3A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0"/>
      <color rgb="FF047857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EFCE8"/>
        <bgColor rgb="FFF3F4F6"/>
      </patternFill>
    </fill>
    <fill>
      <patternFill patternType="solid">
        <fgColor rgb="FFF3F4F6"/>
        <bgColor rgb="FFEEF0F2"/>
      </patternFill>
    </fill>
    <fill>
      <patternFill patternType="solid">
        <fgColor rgb="FFECFDF5"/>
        <bgColor rgb="FFF3F4F6"/>
      </patternFill>
    </fill>
    <fill>
      <patternFill patternType="solid">
        <fgColor rgb="FFFEF3C7"/>
        <bgColor rgb="FFFEFCE8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47857"/>
      </bottom>
      <diagonal/>
    </border>
    <border diagonalUp="false" diagonalDown="false">
      <left/>
      <right/>
      <top/>
      <bottom style="thin">
        <color rgb="FFEEF0F2"/>
      </bottom>
      <diagonal/>
    </border>
    <border diagonalUp="false" diagonalDown="false">
      <left/>
      <right/>
      <top/>
      <bottom style="thin">
        <color rgb="FFD1D5DB"/>
      </bottom>
      <diagonal/>
    </border>
    <border diagonalUp="false" diagonalDown="false">
      <left/>
      <right/>
      <top/>
      <bottom style="thin">
        <color rgb="FF9CA3AF"/>
      </bottom>
      <diagonal/>
    </border>
    <border diagonalUp="false" diagonalDown="false">
      <left/>
      <right/>
      <top/>
      <bottom style="thin">
        <color rgb="FF374151"/>
      </bottom>
      <diagonal/>
    </border>
    <border diagonalUp="false" diagonalDown="false">
      <left style="thin">
        <color rgb="FFF59E0B"/>
      </left>
      <right style="thin">
        <color rgb="FFF59E0B"/>
      </right>
      <top style="thin">
        <color rgb="FFF59E0B"/>
      </top>
      <bottom style="thin">
        <color rgb="FFEEF0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2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4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3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3" fillId="4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4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4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2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8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2" fontId="8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2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4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3" fillId="4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8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3" fillId="4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2" fontId="8" fillId="5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8" fillId="5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12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3" fontId="4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12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2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3" fontId="4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2" fontId="4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2" fontId="4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EFCE8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47857"/>
      <rgbColor rgb="FFC0C0C0"/>
      <rgbColor rgb="FF808080"/>
      <rgbColor rgb="FF9999FF"/>
      <rgbColor rgb="FF993366"/>
      <rgbColor rgb="FFFEF3C7"/>
      <rgbColor rgb="FFECFDF5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EEF0F2"/>
      <rgbColor rgb="FFF3F4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47857"/>
    <pageSetUpPr fitToPage="false"/>
  </sheetPr>
  <dimension ref="A1:L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11" min="3" style="1" width="14"/>
    <col collapsed="false" customWidth="true" hidden="false" outlineLevel="0" max="12" min="12" style="0" width="2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3.75" hidden="false" customHeight="true" outlineLevel="0" collapsed="false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2"/>
    </row>
    <row r="3" customFormat="false" ht="19.5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2"/>
    </row>
    <row r="4" customFormat="false" ht="13.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30" hidden="false" customHeight="true" outlineLevel="0" collapsed="false">
      <c r="A5" s="5"/>
      <c r="B5" s="6" t="s">
        <v>2</v>
      </c>
      <c r="C5" s="6"/>
      <c r="D5" s="6"/>
      <c r="E5" s="6"/>
      <c r="F5" s="6"/>
      <c r="G5" s="6"/>
      <c r="H5" s="6"/>
      <c r="I5" s="6"/>
      <c r="J5" s="6"/>
      <c r="K5" s="5"/>
      <c r="L5" s="2"/>
    </row>
    <row r="6" customFormat="false" ht="19.5" hidden="false" customHeight="true" outlineLevel="0" collapsed="false">
      <c r="A6" s="2"/>
      <c r="B6" s="7" t="s">
        <v>3</v>
      </c>
      <c r="C6" s="7"/>
      <c r="D6" s="8" t="n">
        <v>0.17</v>
      </c>
      <c r="E6" s="9"/>
      <c r="F6" s="9"/>
      <c r="G6" s="9"/>
      <c r="H6" s="9"/>
      <c r="I6" s="9"/>
      <c r="J6" s="9"/>
      <c r="K6" s="2"/>
      <c r="L6" s="2"/>
    </row>
    <row r="7" customFormat="false" ht="19.5" hidden="false" customHeight="true" outlineLevel="0" collapsed="false">
      <c r="A7" s="2"/>
      <c r="B7" s="7" t="s">
        <v>4</v>
      </c>
      <c r="C7" s="7"/>
      <c r="D7" s="7" t="s">
        <v>5</v>
      </c>
      <c r="E7" s="7"/>
      <c r="F7" s="7"/>
      <c r="G7" s="7"/>
      <c r="H7" s="7"/>
      <c r="I7" s="7"/>
      <c r="J7" s="7"/>
      <c r="K7" s="2"/>
      <c r="L7" s="2"/>
    </row>
    <row r="8" customFormat="false" ht="19.5" hidden="false" customHeight="true" outlineLevel="0" collapsed="false">
      <c r="A8" s="2"/>
      <c r="B8" s="7" t="s">
        <v>6</v>
      </c>
      <c r="C8" s="7"/>
      <c r="D8" s="10" t="n">
        <v>96.07</v>
      </c>
      <c r="E8" s="9"/>
      <c r="F8" s="9"/>
      <c r="G8" s="9"/>
      <c r="H8" s="9"/>
      <c r="I8" s="9"/>
      <c r="J8" s="9"/>
      <c r="K8" s="2"/>
      <c r="L8" s="2"/>
    </row>
    <row r="9" customFormat="false" ht="19.5" hidden="false" customHeight="true" outlineLevel="0" collapsed="false">
      <c r="A9" s="2"/>
      <c r="B9" s="7" t="s">
        <v>7</v>
      </c>
      <c r="C9" s="7"/>
      <c r="D9" s="7" t="s">
        <v>8</v>
      </c>
      <c r="E9" s="7"/>
      <c r="F9" s="7"/>
      <c r="G9" s="7"/>
      <c r="H9" s="7"/>
      <c r="I9" s="7"/>
      <c r="J9" s="7"/>
      <c r="K9" s="2"/>
      <c r="L9" s="2"/>
    </row>
    <row r="10" customFormat="false" ht="19.5" hidden="false" customHeight="true" outlineLevel="0" collapsed="false">
      <c r="A10" s="2"/>
      <c r="B10" s="7" t="s">
        <v>9</v>
      </c>
      <c r="C10" s="7"/>
      <c r="D10" s="7" t="s">
        <v>10</v>
      </c>
      <c r="E10" s="7"/>
      <c r="F10" s="7"/>
      <c r="G10" s="7"/>
      <c r="H10" s="7"/>
      <c r="I10" s="7"/>
      <c r="J10" s="7"/>
      <c r="K10" s="2"/>
      <c r="L10" s="2"/>
    </row>
    <row r="11" customFormat="false" ht="33" hidden="false" customHeight="true" outlineLevel="0" collapsed="false">
      <c r="A11" s="2"/>
      <c r="B11" s="7" t="s">
        <v>11</v>
      </c>
      <c r="C11" s="7"/>
      <c r="D11" s="7" t="str">
        <f aca="false">"Annual Price ÷ (1 − "&amp;TEXT($D$6,"0%")&amp;")   =   Annual Price ÷ "&amp;TEXT(1-$D$6,"0.00")</f>
        <v>Annual Price ÷ (1 − 17%)   =   Annual Price ÷ 0.83</v>
      </c>
      <c r="E11" s="7"/>
      <c r="F11" s="7"/>
      <c r="G11" s="7"/>
      <c r="H11" s="7"/>
      <c r="I11" s="7"/>
      <c r="J11" s="7"/>
      <c r="K11" s="2"/>
      <c r="L11" s="2"/>
    </row>
    <row r="12" customFormat="false" ht="33" hidden="false" customHeight="true" outlineLevel="0" collapsed="false">
      <c r="A12" s="2"/>
      <c r="B12" s="7" t="s">
        <v>12</v>
      </c>
      <c r="C12" s="7"/>
      <c r="D12" s="7" t="str">
        <f aca="false">"1 credit = 1,000 transformations | 1 GB storage | 1 GB image bandwidth   ·   Plus $89/mo (225 credits) ⇒ ₹"&amp;TEXT('Cost Inputs'!C7,"0")&amp;" per credit in this model; the published price implies ₹"&amp;TEXT('Cost Inputs'!C17,"0.0")&amp;" (see Cost Inputs)"</f>
        <v>1 credit = 1,000 transformations | 1 GB storage | 1 GB image bandwidth   ·   Plus $89/mo (225 credits) ⇒ ₹34 per credit in this model; the published price implies ₹38.0 (see Cost Inputs)</v>
      </c>
      <c r="E12" s="7"/>
      <c r="F12" s="7"/>
      <c r="G12" s="7"/>
      <c r="H12" s="7"/>
      <c r="I12" s="7"/>
      <c r="J12" s="7"/>
      <c r="K12" s="2"/>
      <c r="L12" s="2"/>
    </row>
    <row r="13" customFormat="false" ht="33" hidden="false" customHeight="true" outlineLevel="0" collapsed="false">
      <c r="A13" s="2"/>
      <c r="B13" s="11" t="s">
        <v>13</v>
      </c>
      <c r="C13" s="11"/>
      <c r="D13" s="11" t="str">
        <f aca="false">"Vision analysis ≈ ₹"&amp;TEXT('Cost Inputs'!C8,"0.00")&amp;" / asset   ·   Impact report ≈ ₹"&amp;TEXT('Cost Inputs'!C9,"0.00")&amp;"   ·   Semantic search ≈ ₹"&amp;TEXT('Cost Inputs'!C10,"0.00")&amp;"   (assumptions, not measured)"</f>
        <v>Vision analysis ≈ ₹0.90 / asset   ·   Impact report ≈ ₹1.00   ·   Semantic search ≈ ₹0.50   (assumptions, not measured)</v>
      </c>
      <c r="E13" s="11"/>
      <c r="F13" s="11"/>
      <c r="G13" s="11"/>
      <c r="H13" s="11"/>
      <c r="I13" s="11"/>
      <c r="J13" s="11"/>
      <c r="K13" s="2"/>
      <c r="L13" s="2"/>
    </row>
    <row r="14" customFormat="false" ht="45" hidden="false" customHeight="true" outlineLevel="0" collapsed="false">
      <c r="A14" s="2"/>
      <c r="B14" s="12" t="s">
        <v>14</v>
      </c>
      <c r="C14" s="12"/>
      <c r="D14" s="12"/>
      <c r="E14" s="12"/>
      <c r="F14" s="12"/>
      <c r="G14" s="12"/>
      <c r="H14" s="12"/>
      <c r="I14" s="12"/>
      <c r="J14" s="12"/>
      <c r="K14" s="2"/>
      <c r="L14" s="2"/>
    </row>
    <row r="15" customFormat="false" ht="13.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30" hidden="false" customHeight="true" outlineLevel="0" collapsed="false">
      <c r="A16" s="6" t="s">
        <v>15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2"/>
    </row>
    <row r="17" customFormat="false" ht="33.75" hidden="false" customHeight="true" outlineLevel="0" collapsed="false">
      <c r="A17" s="2"/>
      <c r="B17" s="13" t="s">
        <v>16</v>
      </c>
      <c r="C17" s="13"/>
      <c r="D17" s="14" t="s">
        <v>17</v>
      </c>
      <c r="E17" s="14" t="s">
        <v>18</v>
      </c>
      <c r="F17" s="14" t="s">
        <v>19</v>
      </c>
      <c r="G17" s="2"/>
      <c r="H17" s="15" t="s">
        <v>20</v>
      </c>
      <c r="I17" s="15"/>
      <c r="J17" s="15"/>
      <c r="K17" s="2"/>
      <c r="L17" s="2"/>
    </row>
    <row r="18" customFormat="false" ht="19.5" hidden="false" customHeight="true" outlineLevel="0" collapsed="false">
      <c r="A18" s="2"/>
      <c r="B18" s="7" t="s">
        <v>21</v>
      </c>
      <c r="C18" s="7"/>
      <c r="D18" s="16" t="n">
        <v>10</v>
      </c>
      <c r="E18" s="16" t="n">
        <v>50</v>
      </c>
      <c r="F18" s="16" t="n">
        <v>150</v>
      </c>
      <c r="G18" s="2"/>
      <c r="H18" s="2"/>
      <c r="I18" s="2"/>
      <c r="J18" s="2"/>
      <c r="K18" s="2"/>
      <c r="L18" s="2"/>
    </row>
    <row r="19" customFormat="false" ht="19.5" hidden="false" customHeight="true" outlineLevel="0" collapsed="false">
      <c r="A19" s="2"/>
      <c r="B19" s="7" t="s">
        <v>22</v>
      </c>
      <c r="C19" s="7"/>
      <c r="D19" s="17" t="n">
        <f aca="false">D18*'Cost Inputs'!$C$7</f>
        <v>340</v>
      </c>
      <c r="E19" s="17" t="n">
        <f aca="false">E18*'Cost Inputs'!$C$7</f>
        <v>1700</v>
      </c>
      <c r="F19" s="17" t="n">
        <f aca="false">F18*'Cost Inputs'!$C$7</f>
        <v>5100</v>
      </c>
      <c r="G19" s="2"/>
      <c r="H19" s="2"/>
      <c r="I19" s="2"/>
      <c r="J19" s="2"/>
      <c r="K19" s="2"/>
      <c r="L19" s="2"/>
    </row>
    <row r="20" customFormat="false" ht="19.5" hidden="false" customHeight="true" outlineLevel="0" collapsed="false">
      <c r="A20" s="2"/>
      <c r="B20" s="7" t="s">
        <v>23</v>
      </c>
      <c r="C20" s="7"/>
      <c r="D20" s="16" t="n">
        <v>100</v>
      </c>
      <c r="E20" s="18" t="n">
        <v>1000</v>
      </c>
      <c r="F20" s="18" t="n">
        <v>5000</v>
      </c>
      <c r="G20" s="2"/>
      <c r="H20" s="2"/>
      <c r="I20" s="2"/>
      <c r="J20" s="2"/>
      <c r="K20" s="2"/>
      <c r="L20" s="2"/>
    </row>
    <row r="21" customFormat="false" ht="19.5" hidden="false" customHeight="true" outlineLevel="0" collapsed="false">
      <c r="A21" s="2"/>
      <c r="B21" s="7" t="s">
        <v>24</v>
      </c>
      <c r="C21" s="7"/>
      <c r="D21" s="17" t="n">
        <f aca="false">D20*'Cost Inputs'!$C$8</f>
        <v>90</v>
      </c>
      <c r="E21" s="17" t="n">
        <f aca="false">E20*'Cost Inputs'!$C$8</f>
        <v>900</v>
      </c>
      <c r="F21" s="17" t="n">
        <f aca="false">F20*'Cost Inputs'!$C$8</f>
        <v>4500</v>
      </c>
      <c r="G21" s="2"/>
      <c r="H21" s="2"/>
      <c r="I21" s="2"/>
      <c r="J21" s="2"/>
      <c r="K21" s="2"/>
      <c r="L21" s="2"/>
    </row>
    <row r="22" customFormat="false" ht="19.5" hidden="false" customHeight="true" outlineLevel="0" collapsed="false">
      <c r="A22" s="2"/>
      <c r="B22" s="7" t="s">
        <v>25</v>
      </c>
      <c r="C22" s="7"/>
      <c r="D22" s="19" t="n">
        <v>3</v>
      </c>
      <c r="E22" s="19" t="n">
        <v>180</v>
      </c>
      <c r="F22" s="19" t="n">
        <v>650</v>
      </c>
      <c r="G22" s="2"/>
      <c r="H22" s="2"/>
      <c r="I22" s="2"/>
      <c r="J22" s="2"/>
      <c r="K22" s="2"/>
      <c r="L22" s="2"/>
    </row>
    <row r="23" customFormat="false" ht="19.5" hidden="false" customHeight="true" outlineLevel="0" collapsed="false">
      <c r="A23" s="2"/>
      <c r="B23" s="7" t="s">
        <v>26</v>
      </c>
      <c r="C23" s="7"/>
      <c r="D23" s="20" t="n">
        <f aca="false">D19+D21+D22</f>
        <v>433</v>
      </c>
      <c r="E23" s="20" t="n">
        <f aca="false">E19+E21+E22</f>
        <v>2780</v>
      </c>
      <c r="F23" s="20" t="n">
        <f aca="false">F19+F21+F22</f>
        <v>10250</v>
      </c>
      <c r="G23" s="2"/>
      <c r="H23" s="2"/>
      <c r="I23" s="2"/>
      <c r="J23" s="2"/>
      <c r="K23" s="2"/>
      <c r="L23" s="2"/>
    </row>
    <row r="24" customFormat="false" ht="19.5" hidden="false" customHeight="true" outlineLevel="0" collapsed="false">
      <c r="A24" s="2"/>
      <c r="B24" s="7" t="s">
        <v>27</v>
      </c>
      <c r="C24" s="7"/>
      <c r="D24" s="20" t="n">
        <f aca="false">D31</f>
        <v>2999</v>
      </c>
      <c r="E24" s="20" t="n">
        <f aca="false">E31</f>
        <v>7999</v>
      </c>
      <c r="F24" s="20" t="n">
        <f aca="false">F31</f>
        <v>19999</v>
      </c>
      <c r="G24" s="2"/>
      <c r="H24" s="2"/>
      <c r="I24" s="2"/>
      <c r="J24" s="2"/>
      <c r="K24" s="2"/>
      <c r="L24" s="2"/>
    </row>
    <row r="25" customFormat="false" ht="19.5" hidden="false" customHeight="true" outlineLevel="0" collapsed="false">
      <c r="A25" s="2"/>
      <c r="B25" s="21" t="s">
        <v>28</v>
      </c>
      <c r="C25" s="21"/>
      <c r="D25" s="22" t="n">
        <f aca="false">(D24-D23)/D24</f>
        <v>0.855618539513171</v>
      </c>
      <c r="E25" s="22" t="n">
        <f aca="false">(E24-E23)/E24</f>
        <v>0.652456557069634</v>
      </c>
      <c r="F25" s="22" t="n">
        <f aca="false">(F24-F23)/F24</f>
        <v>0.487474373718686</v>
      </c>
      <c r="G25" s="2"/>
      <c r="H25" s="2"/>
      <c r="I25" s="2"/>
      <c r="J25" s="2"/>
      <c r="K25" s="2"/>
      <c r="L25" s="2"/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30" hidden="false" customHeight="true" outlineLevel="0" collapsed="false">
      <c r="A27" s="6" t="s">
        <v>29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2"/>
    </row>
    <row r="28" customFormat="false" ht="24" hidden="false" customHeight="true" outlineLevel="0" collapsed="false">
      <c r="A28" s="2"/>
      <c r="B28" s="2"/>
      <c r="C28" s="2"/>
      <c r="D28" s="23" t="str">
        <f aca="false">"Annual billing ("&amp;TEXT($D$6,"0%")&amp;" discount applied)"</f>
        <v>Annual billing (17% discount applied)</v>
      </c>
      <c r="E28" s="23"/>
      <c r="F28" s="23"/>
      <c r="G28" s="2"/>
      <c r="H28" s="24" t="s">
        <v>30</v>
      </c>
      <c r="I28" s="24"/>
      <c r="J28" s="24"/>
      <c r="K28" s="2"/>
      <c r="L28" s="2"/>
    </row>
    <row r="29" customFormat="false" ht="45.75" hidden="false" customHeight="true" outlineLevel="0" collapsed="false">
      <c r="A29" s="2"/>
      <c r="B29" s="13" t="s">
        <v>31</v>
      </c>
      <c r="C29" s="13"/>
      <c r="D29" s="14" t="s">
        <v>32</v>
      </c>
      <c r="E29" s="14" t="s">
        <v>33</v>
      </c>
      <c r="F29" s="14" t="s">
        <v>34</v>
      </c>
      <c r="G29" s="2"/>
      <c r="H29" s="14" t="s">
        <v>32</v>
      </c>
      <c r="I29" s="14" t="s">
        <v>33</v>
      </c>
      <c r="J29" s="14" t="s">
        <v>34</v>
      </c>
      <c r="K29" s="2"/>
      <c r="L29" s="2"/>
    </row>
    <row r="30" customFormat="false" ht="19.5" hidden="false" customHeight="true" outlineLevel="0" collapsed="false">
      <c r="A30" s="2"/>
      <c r="B30" s="7" t="s">
        <v>35</v>
      </c>
      <c r="C30" s="7"/>
      <c r="D30" s="25" t="s">
        <v>36</v>
      </c>
      <c r="E30" s="25" t="s">
        <v>37</v>
      </c>
      <c r="F30" s="25" t="s">
        <v>38</v>
      </c>
      <c r="G30" s="2"/>
      <c r="H30" s="25" t="s">
        <v>36</v>
      </c>
      <c r="I30" s="25" t="s">
        <v>37</v>
      </c>
      <c r="J30" s="25" t="s">
        <v>38</v>
      </c>
      <c r="K30" s="2"/>
      <c r="L30" s="2"/>
    </row>
    <row r="31" customFormat="false" ht="19.5" hidden="false" customHeight="true" outlineLevel="0" collapsed="false">
      <c r="A31" s="2"/>
      <c r="B31" s="7" t="s">
        <v>39</v>
      </c>
      <c r="C31" s="7"/>
      <c r="D31" s="19" t="n">
        <v>2999</v>
      </c>
      <c r="E31" s="19" t="n">
        <v>7999</v>
      </c>
      <c r="F31" s="19" t="n">
        <v>19999</v>
      </c>
      <c r="G31" s="2"/>
      <c r="H31" s="26" t="s">
        <v>40</v>
      </c>
      <c r="I31" s="26" t="s">
        <v>40</v>
      </c>
      <c r="J31" s="26" t="s">
        <v>40</v>
      </c>
      <c r="K31" s="2"/>
      <c r="L31" s="2"/>
    </row>
    <row r="32" customFormat="false" ht="19.5" hidden="false" customHeight="true" outlineLevel="0" collapsed="false">
      <c r="A32" s="2"/>
      <c r="B32" s="7" t="s">
        <v>41</v>
      </c>
      <c r="C32" s="7"/>
      <c r="D32" s="27" t="n">
        <f aca="false">ROUND(D31/$D$8,0)</f>
        <v>31</v>
      </c>
      <c r="E32" s="27" t="n">
        <f aca="false">ROUND(E31/$D$8,0)</f>
        <v>83</v>
      </c>
      <c r="F32" s="27" t="n">
        <f aca="false">ROUND(F31/$D$8,0)</f>
        <v>208</v>
      </c>
      <c r="G32" s="2"/>
      <c r="H32" s="26" t="s">
        <v>40</v>
      </c>
      <c r="I32" s="26" t="s">
        <v>40</v>
      </c>
      <c r="J32" s="26" t="s">
        <v>40</v>
      </c>
      <c r="K32" s="2"/>
      <c r="L32" s="2"/>
    </row>
    <row r="33" customFormat="false" ht="19.5" hidden="false" customHeight="true" outlineLevel="0" collapsed="false">
      <c r="A33" s="2"/>
      <c r="B33" s="7" t="s">
        <v>42</v>
      </c>
      <c r="C33" s="7"/>
      <c r="D33" s="28" t="n">
        <f aca="false">$D$6</f>
        <v>0.17</v>
      </c>
      <c r="E33" s="28" t="n">
        <f aca="false">$D$6</f>
        <v>0.17</v>
      </c>
      <c r="F33" s="28" t="n">
        <f aca="false">$D$6</f>
        <v>0.17</v>
      </c>
      <c r="G33" s="2"/>
      <c r="H33" s="26" t="s">
        <v>43</v>
      </c>
      <c r="I33" s="26" t="s">
        <v>43</v>
      </c>
      <c r="J33" s="26" t="s">
        <v>43</v>
      </c>
      <c r="K33" s="2"/>
      <c r="L33" s="2"/>
    </row>
    <row r="34" customFormat="false" ht="19.5" hidden="false" customHeight="true" outlineLevel="0" collapsed="false">
      <c r="A34" s="2"/>
      <c r="B34" s="7" t="s">
        <v>44</v>
      </c>
      <c r="C34" s="7"/>
      <c r="D34" s="20" t="n">
        <f aca="false">D31</f>
        <v>2999</v>
      </c>
      <c r="E34" s="20" t="n">
        <f aca="false">E31</f>
        <v>7999</v>
      </c>
      <c r="F34" s="20" t="n">
        <f aca="false">F31</f>
        <v>19999</v>
      </c>
      <c r="G34" s="2"/>
      <c r="H34" s="20" t="n">
        <f aca="false">ROUND(D31/(1-$D$6),0)</f>
        <v>3613</v>
      </c>
      <c r="I34" s="20" t="n">
        <f aca="false">ROUND(E31/(1-$D$6),0)</f>
        <v>9637</v>
      </c>
      <c r="J34" s="20" t="n">
        <f aca="false">ROUND(F31/(1-$D$6),0)</f>
        <v>24095</v>
      </c>
      <c r="K34" s="2"/>
      <c r="L34" s="2"/>
    </row>
    <row r="35" customFormat="false" ht="19.5" hidden="false" customHeight="true" outlineLevel="0" collapsed="false">
      <c r="A35" s="2"/>
      <c r="B35" s="7" t="s">
        <v>45</v>
      </c>
      <c r="C35" s="7"/>
      <c r="D35" s="20" t="n">
        <f aca="false">D31*12</f>
        <v>35988</v>
      </c>
      <c r="E35" s="20" t="n">
        <f aca="false">E31*12</f>
        <v>95988</v>
      </c>
      <c r="F35" s="20" t="n">
        <f aca="false">F31*12</f>
        <v>239988</v>
      </c>
      <c r="G35" s="2"/>
      <c r="H35" s="20" t="n">
        <f aca="false">ROUND(D31/(1-$D$6),0)*12</f>
        <v>43356</v>
      </c>
      <c r="I35" s="20" t="n">
        <f aca="false">ROUND(E31/(1-$D$6),0)*12</f>
        <v>115644</v>
      </c>
      <c r="J35" s="20" t="n">
        <f aca="false">ROUND(F31/(1-$D$6),0)*12</f>
        <v>289140</v>
      </c>
      <c r="K35" s="2"/>
      <c r="L35" s="2"/>
    </row>
    <row r="36" customFormat="false" ht="21.75" hidden="false" customHeight="true" outlineLevel="0" collapsed="false">
      <c r="A36" s="2"/>
      <c r="B36" s="29" t="s">
        <v>46</v>
      </c>
      <c r="C36" s="29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9.5" hidden="false" customHeight="true" outlineLevel="0" collapsed="false">
      <c r="A37" s="2"/>
      <c r="B37" s="7" t="s">
        <v>47</v>
      </c>
      <c r="C37" s="7"/>
      <c r="D37" s="26" t="s">
        <v>48</v>
      </c>
      <c r="E37" s="26" t="s">
        <v>48</v>
      </c>
      <c r="F37" s="26" t="s">
        <v>48</v>
      </c>
      <c r="G37" s="2"/>
      <c r="H37" s="20" t="n">
        <f aca="false">ROUND(D31/(1-$D$6),0)</f>
        <v>3613</v>
      </c>
      <c r="I37" s="20" t="n">
        <f aca="false">ROUND(E31/(1-$D$6),0)</f>
        <v>9637</v>
      </c>
      <c r="J37" s="20" t="n">
        <f aca="false">ROUND(F31/(1-$D$6),0)</f>
        <v>24095</v>
      </c>
      <c r="K37" s="2"/>
      <c r="L37" s="2"/>
    </row>
    <row r="38" customFormat="false" ht="19.5" hidden="false" customHeight="true" outlineLevel="0" collapsed="false">
      <c r="A38" s="2"/>
      <c r="B38" s="7" t="s">
        <v>49</v>
      </c>
      <c r="C38" s="7"/>
      <c r="D38" s="26" t="s">
        <v>48</v>
      </c>
      <c r="E38" s="26" t="s">
        <v>48</v>
      </c>
      <c r="F38" s="26" t="s">
        <v>48</v>
      </c>
      <c r="G38" s="2"/>
      <c r="H38" s="20" t="n">
        <f aca="false">ROUND(D31/(1-$D$6),0)*12</f>
        <v>43356</v>
      </c>
      <c r="I38" s="20" t="n">
        <f aca="false">ROUND(E31/(1-$D$6),0)*12</f>
        <v>115644</v>
      </c>
      <c r="J38" s="20" t="n">
        <f aca="false">ROUND(F31/(1-$D$6),0)*12</f>
        <v>289140</v>
      </c>
      <c r="K38" s="2"/>
      <c r="L38" s="2"/>
    </row>
    <row r="39" customFormat="false" ht="21.75" hidden="false" customHeight="true" outlineLevel="0" collapsed="false">
      <c r="A39" s="2"/>
      <c r="B39" s="29" t="s">
        <v>50</v>
      </c>
      <c r="C39" s="29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9.5" hidden="false" customHeight="true" outlineLevel="0" collapsed="false">
      <c r="A40" s="2"/>
      <c r="B40" s="30" t="s">
        <v>51</v>
      </c>
      <c r="C40" s="30"/>
      <c r="D40" s="31" t="n">
        <f aca="false">ROUND(D31/(1-$D$6),0)*12-D31*12</f>
        <v>7368</v>
      </c>
      <c r="E40" s="31" t="n">
        <f aca="false">ROUND(E31/(1-$D$6),0)*12-E31*12</f>
        <v>19656</v>
      </c>
      <c r="F40" s="31" t="n">
        <f aca="false">ROUND(F31/(1-$D$6),0)*12-F31*12</f>
        <v>49152</v>
      </c>
      <c r="G40" s="2"/>
      <c r="H40" s="32" t="s">
        <v>48</v>
      </c>
      <c r="I40" s="32" t="s">
        <v>48</v>
      </c>
      <c r="J40" s="32" t="s">
        <v>48</v>
      </c>
      <c r="K40" s="2"/>
      <c r="L40" s="2"/>
    </row>
    <row r="41" customFormat="false" ht="19.5" hidden="false" customHeight="true" outlineLevel="0" collapsed="false">
      <c r="A41" s="2"/>
      <c r="B41" s="21" t="s">
        <v>52</v>
      </c>
      <c r="C41" s="21"/>
      <c r="D41" s="22" t="n">
        <f aca="false">(ROUND(D31/(1-$D$6),0)*12-D31*12)/(ROUND(D31/(1-$D$6),0)*12)</f>
        <v>0.169941876556878</v>
      </c>
      <c r="E41" s="22" t="n">
        <f aca="false">(ROUND(E31/(1-$D$6),0)*12-E31*12)/(ROUND(E31/(1-$D$6),0)*12)</f>
        <v>0.169969907647608</v>
      </c>
      <c r="F41" s="22" t="n">
        <f aca="false">(ROUND(F31/(1-$D$6),0)*12-F31*12)/(ROUND(F31/(1-$D$6),0)*12)</f>
        <v>0.169993774642042</v>
      </c>
      <c r="G41" s="2"/>
      <c r="H41" s="33" t="s">
        <v>48</v>
      </c>
      <c r="I41" s="33" t="s">
        <v>48</v>
      </c>
      <c r="J41" s="33" t="s">
        <v>48</v>
      </c>
      <c r="K41" s="2"/>
      <c r="L41" s="2"/>
    </row>
    <row r="42" customFormat="false" ht="31.5" hidden="false" customHeight="true" outlineLevel="0" collapsed="false">
      <c r="A42" s="2"/>
      <c r="B42" s="12" t="str">
        <f aca="false">"USD row (32) converts the ₹ price at the rate in D8. Retype D8 and the whole USD column re-prices. Monthly column = annual ÷ "&amp;TEXT(1-$D$6,"0.00")&amp;"."</f>
        <v>USD row (32) converts the ₹ price at the rate in D8. Retype D8 and the whole USD column re-prices. Monthly column = annual ÷ 0.83.</v>
      </c>
      <c r="C42" s="12"/>
      <c r="D42" s="12"/>
      <c r="E42" s="12"/>
      <c r="F42" s="12"/>
      <c r="G42" s="12"/>
      <c r="H42" s="12"/>
      <c r="I42" s="12"/>
      <c r="J42" s="12"/>
      <c r="K42" s="2"/>
      <c r="L42" s="2"/>
    </row>
    <row r="43" customFormat="false" ht="13.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30" hidden="false" customHeight="true" outlineLevel="0" collapsed="false">
      <c r="A44" s="6" t="s">
        <v>53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2"/>
    </row>
    <row r="45" customFormat="false" ht="25.5" hidden="false" customHeight="true" outlineLevel="0" collapsed="false">
      <c r="A45" s="2"/>
      <c r="B45" s="13" t="s">
        <v>54</v>
      </c>
      <c r="C45" s="13"/>
      <c r="D45" s="14" t="s">
        <v>55</v>
      </c>
      <c r="E45" s="14"/>
      <c r="F45" s="14" t="s">
        <v>56</v>
      </c>
      <c r="G45" s="14"/>
      <c r="H45" s="14" t="s">
        <v>57</v>
      </c>
      <c r="I45" s="14"/>
      <c r="J45" s="14" t="s">
        <v>58</v>
      </c>
      <c r="K45" s="14"/>
      <c r="L45" s="2"/>
    </row>
    <row r="46" customFormat="false" ht="19.5" hidden="false" customHeight="true" outlineLevel="0" collapsed="false">
      <c r="A46" s="2"/>
      <c r="B46" s="34" t="s">
        <v>59</v>
      </c>
      <c r="C46" s="34"/>
      <c r="D46" s="20" t="n">
        <f aca="false">D31</f>
        <v>2999</v>
      </c>
      <c r="E46" s="20"/>
      <c r="F46" s="20" t="n">
        <f aca="false">D31*12</f>
        <v>35988</v>
      </c>
      <c r="G46" s="20"/>
      <c r="H46" s="27" t="n">
        <f aca="false">ROUND(D31/$D$8,0)</f>
        <v>31</v>
      </c>
      <c r="I46" s="27"/>
      <c r="J46" s="20" t="n">
        <f aca="false">ROUND(D31/(1-$D$6),0)*12-D31*12</f>
        <v>7368</v>
      </c>
      <c r="K46" s="20"/>
      <c r="L46" s="2"/>
    </row>
    <row r="47" customFormat="false" ht="19.5" hidden="false" customHeight="true" outlineLevel="0" collapsed="false">
      <c r="A47" s="2"/>
      <c r="B47" s="34" t="s">
        <v>60</v>
      </c>
      <c r="C47" s="34"/>
      <c r="D47" s="20" t="n">
        <f aca="false">E31</f>
        <v>7999</v>
      </c>
      <c r="E47" s="20"/>
      <c r="F47" s="20" t="n">
        <f aca="false">E31*12</f>
        <v>95988</v>
      </c>
      <c r="G47" s="20"/>
      <c r="H47" s="27" t="n">
        <f aca="false">ROUND(E31/$D$8,0)</f>
        <v>83</v>
      </c>
      <c r="I47" s="27"/>
      <c r="J47" s="20" t="n">
        <f aca="false">ROUND(E31/(1-$D$6),0)*12-E31*12</f>
        <v>19656</v>
      </c>
      <c r="K47" s="20"/>
      <c r="L47" s="2"/>
    </row>
    <row r="48" customFormat="false" ht="19.5" hidden="false" customHeight="true" outlineLevel="0" collapsed="false">
      <c r="A48" s="2"/>
      <c r="B48" s="35" t="s">
        <v>61</v>
      </c>
      <c r="C48" s="35"/>
      <c r="D48" s="36" t="n">
        <f aca="false">F31</f>
        <v>19999</v>
      </c>
      <c r="E48" s="36"/>
      <c r="F48" s="36" t="n">
        <f aca="false">F31*12</f>
        <v>239988</v>
      </c>
      <c r="G48" s="36"/>
      <c r="H48" s="37" t="n">
        <f aca="false">ROUND(F31/$D$8,0)</f>
        <v>208</v>
      </c>
      <c r="I48" s="37"/>
      <c r="J48" s="36" t="n">
        <f aca="false">ROUND(F31/(1-$D$6),0)*12-F31*12</f>
        <v>49152</v>
      </c>
      <c r="K48" s="36"/>
      <c r="L48" s="2"/>
    </row>
    <row r="49" customFormat="false" ht="13.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30" hidden="false" customHeight="true" outlineLevel="0" collapsed="false">
      <c r="A50" s="6" t="s">
        <v>62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2"/>
    </row>
    <row r="51" customFormat="false" ht="25.5" hidden="false" customHeight="true" outlineLevel="0" collapsed="false">
      <c r="A51" s="2"/>
      <c r="B51" s="13" t="s">
        <v>63</v>
      </c>
      <c r="C51" s="13"/>
      <c r="D51" s="14" t="s">
        <v>64</v>
      </c>
      <c r="E51" s="14"/>
      <c r="F51" s="14" t="s">
        <v>65</v>
      </c>
      <c r="G51" s="14"/>
      <c r="H51" s="14" t="s">
        <v>66</v>
      </c>
      <c r="I51" s="14"/>
      <c r="J51" s="2"/>
      <c r="K51" s="2"/>
      <c r="L51" s="2"/>
    </row>
    <row r="52" customFormat="false" ht="19.5" hidden="false" customHeight="true" outlineLevel="0" collapsed="false">
      <c r="A52" s="2"/>
      <c r="B52" s="7" t="s">
        <v>67</v>
      </c>
      <c r="C52" s="7"/>
      <c r="D52" s="25" t="s">
        <v>68</v>
      </c>
      <c r="E52" s="25"/>
      <c r="F52" s="25" t="s">
        <v>68</v>
      </c>
      <c r="G52" s="25"/>
      <c r="H52" s="25" t="s">
        <v>69</v>
      </c>
      <c r="I52" s="25"/>
      <c r="J52" s="2"/>
      <c r="K52" s="2"/>
      <c r="L52" s="2"/>
    </row>
    <row r="53" customFormat="false" ht="19.5" hidden="false" customHeight="true" outlineLevel="0" collapsed="false">
      <c r="A53" s="2"/>
      <c r="B53" s="7" t="s">
        <v>70</v>
      </c>
      <c r="C53" s="7"/>
      <c r="D53" s="25" t="s">
        <v>71</v>
      </c>
      <c r="E53" s="25"/>
      <c r="F53" s="25" t="s">
        <v>72</v>
      </c>
      <c r="G53" s="25"/>
      <c r="H53" s="25" t="s">
        <v>69</v>
      </c>
      <c r="I53" s="25"/>
      <c r="J53" s="2"/>
      <c r="K53" s="2"/>
      <c r="L53" s="2"/>
    </row>
    <row r="54" customFormat="false" ht="19.5" hidden="false" customHeight="true" outlineLevel="0" collapsed="false">
      <c r="A54" s="2"/>
      <c r="B54" s="7" t="s">
        <v>73</v>
      </c>
      <c r="C54" s="7"/>
      <c r="D54" s="25" t="s">
        <v>74</v>
      </c>
      <c r="E54" s="25"/>
      <c r="F54" s="25" t="s">
        <v>75</v>
      </c>
      <c r="G54" s="25"/>
      <c r="H54" s="25" t="s">
        <v>69</v>
      </c>
      <c r="I54" s="25"/>
      <c r="J54" s="2"/>
      <c r="K54" s="2"/>
      <c r="L54" s="2"/>
    </row>
    <row r="55" customFormat="false" ht="19.5" hidden="false" customHeight="true" outlineLevel="0" collapsed="false">
      <c r="A55" s="2"/>
      <c r="B55" s="7" t="s">
        <v>76</v>
      </c>
      <c r="C55" s="7"/>
      <c r="D55" s="25" t="s">
        <v>77</v>
      </c>
      <c r="E55" s="25"/>
      <c r="F55" s="25" t="s">
        <v>78</v>
      </c>
      <c r="G55" s="25"/>
      <c r="H55" s="25" t="s">
        <v>75</v>
      </c>
      <c r="I55" s="25"/>
      <c r="J55" s="2"/>
      <c r="K55" s="2"/>
      <c r="L55" s="2"/>
    </row>
    <row r="56" customFormat="false" ht="19.5" hidden="false" customHeight="true" outlineLevel="0" collapsed="false">
      <c r="A56" s="2"/>
      <c r="B56" s="7" t="s">
        <v>79</v>
      </c>
      <c r="C56" s="7"/>
      <c r="D56" s="26" t="s">
        <v>48</v>
      </c>
      <c r="E56" s="26"/>
      <c r="F56" s="38" t="s">
        <v>80</v>
      </c>
      <c r="G56" s="38"/>
      <c r="H56" s="38" t="s">
        <v>80</v>
      </c>
      <c r="I56" s="38"/>
      <c r="J56" s="2"/>
      <c r="K56" s="2"/>
      <c r="L56" s="2"/>
    </row>
    <row r="57" customFormat="false" ht="19.5" hidden="false" customHeight="true" outlineLevel="0" collapsed="false">
      <c r="A57" s="2"/>
      <c r="B57" s="7" t="s">
        <v>81</v>
      </c>
      <c r="C57" s="7"/>
      <c r="D57" s="25" t="s">
        <v>82</v>
      </c>
      <c r="E57" s="25"/>
      <c r="F57" s="25" t="s">
        <v>83</v>
      </c>
      <c r="G57" s="25"/>
      <c r="H57" s="25" t="s">
        <v>69</v>
      </c>
      <c r="I57" s="25"/>
      <c r="J57" s="2"/>
      <c r="K57" s="2"/>
      <c r="L57" s="2"/>
    </row>
    <row r="58" customFormat="false" ht="19.5" hidden="false" customHeight="true" outlineLevel="0" collapsed="false">
      <c r="A58" s="2"/>
      <c r="B58" s="7" t="s">
        <v>84</v>
      </c>
      <c r="C58" s="7"/>
      <c r="D58" s="26" t="s">
        <v>48</v>
      </c>
      <c r="E58" s="26"/>
      <c r="F58" s="38" t="s">
        <v>80</v>
      </c>
      <c r="G58" s="38"/>
      <c r="H58" s="38" t="s">
        <v>80</v>
      </c>
      <c r="I58" s="38"/>
      <c r="J58" s="2"/>
      <c r="K58" s="2"/>
      <c r="L58" s="2"/>
    </row>
    <row r="59" customFormat="false" ht="19.5" hidden="false" customHeight="true" outlineLevel="0" collapsed="false">
      <c r="A59" s="2"/>
      <c r="B59" s="7" t="s">
        <v>85</v>
      </c>
      <c r="C59" s="7"/>
      <c r="D59" s="25" t="s">
        <v>71</v>
      </c>
      <c r="E59" s="25"/>
      <c r="F59" s="25" t="s">
        <v>86</v>
      </c>
      <c r="G59" s="25"/>
      <c r="H59" s="25" t="s">
        <v>69</v>
      </c>
      <c r="I59" s="25"/>
      <c r="J59" s="2"/>
      <c r="K59" s="2"/>
      <c r="L59" s="2"/>
    </row>
    <row r="60" customFormat="false" ht="19.5" hidden="false" customHeight="true" outlineLevel="0" collapsed="false">
      <c r="A60" s="2"/>
      <c r="B60" s="7" t="s">
        <v>87</v>
      </c>
      <c r="C60" s="7"/>
      <c r="D60" s="25" t="s">
        <v>88</v>
      </c>
      <c r="E60" s="25"/>
      <c r="F60" s="25" t="s">
        <v>89</v>
      </c>
      <c r="G60" s="25"/>
      <c r="H60" s="25" t="s">
        <v>90</v>
      </c>
      <c r="I60" s="25"/>
      <c r="J60" s="2"/>
      <c r="K60" s="2"/>
      <c r="L60" s="2"/>
    </row>
    <row r="61" customFormat="false" ht="19.5" hidden="false" customHeight="true" outlineLevel="0" collapsed="false">
      <c r="A61" s="2"/>
      <c r="B61" s="7" t="s">
        <v>91</v>
      </c>
      <c r="C61" s="7"/>
      <c r="D61" s="26" t="s">
        <v>48</v>
      </c>
      <c r="E61" s="26"/>
      <c r="F61" s="38" t="s">
        <v>80</v>
      </c>
      <c r="G61" s="38"/>
      <c r="H61" s="38" t="s">
        <v>80</v>
      </c>
      <c r="I61" s="38"/>
      <c r="J61" s="2"/>
      <c r="K61" s="2"/>
      <c r="L61" s="2"/>
    </row>
    <row r="62" customFormat="false" ht="33" hidden="false" customHeight="true" outlineLevel="0" collapsed="false">
      <c r="A62" s="2"/>
      <c r="B62" s="7" t="s">
        <v>92</v>
      </c>
      <c r="C62" s="7"/>
      <c r="D62" s="26" t="s">
        <v>48</v>
      </c>
      <c r="E62" s="26"/>
      <c r="F62" s="38" t="s">
        <v>80</v>
      </c>
      <c r="G62" s="38"/>
      <c r="H62" s="38" t="s">
        <v>80</v>
      </c>
      <c r="I62" s="38"/>
      <c r="J62" s="2"/>
      <c r="K62" s="2"/>
      <c r="L62" s="2"/>
    </row>
    <row r="63" customFormat="false" ht="19.5" hidden="false" customHeight="true" outlineLevel="0" collapsed="false">
      <c r="A63" s="2"/>
      <c r="B63" s="7" t="s">
        <v>93</v>
      </c>
      <c r="C63" s="7"/>
      <c r="D63" s="26" t="s">
        <v>48</v>
      </c>
      <c r="E63" s="26"/>
      <c r="F63" s="26" t="s">
        <v>48</v>
      </c>
      <c r="G63" s="26"/>
      <c r="H63" s="38" t="s">
        <v>80</v>
      </c>
      <c r="I63" s="38"/>
      <c r="J63" s="2"/>
      <c r="K63" s="2"/>
      <c r="L63" s="2"/>
    </row>
    <row r="64" customFormat="false" ht="19.5" hidden="false" customHeight="true" outlineLevel="0" collapsed="false">
      <c r="A64" s="2"/>
      <c r="B64" s="7" t="s">
        <v>94</v>
      </c>
      <c r="C64" s="7"/>
      <c r="D64" s="26" t="s">
        <v>48</v>
      </c>
      <c r="E64" s="26"/>
      <c r="F64" s="38" t="s">
        <v>80</v>
      </c>
      <c r="G64" s="38"/>
      <c r="H64" s="38" t="s">
        <v>80</v>
      </c>
      <c r="I64" s="38"/>
      <c r="J64" s="2"/>
      <c r="K64" s="2"/>
      <c r="L64" s="2"/>
    </row>
    <row r="65" customFormat="false" ht="19.5" hidden="false" customHeight="true" outlineLevel="0" collapsed="false">
      <c r="A65" s="2"/>
      <c r="B65" s="7" t="s">
        <v>95</v>
      </c>
      <c r="C65" s="7"/>
      <c r="D65" s="26" t="s">
        <v>48</v>
      </c>
      <c r="E65" s="26"/>
      <c r="F65" s="38" t="s">
        <v>80</v>
      </c>
      <c r="G65" s="38"/>
      <c r="H65" s="38" t="s">
        <v>80</v>
      </c>
      <c r="I65" s="38"/>
      <c r="J65" s="2"/>
      <c r="K65" s="2"/>
      <c r="L65" s="2"/>
    </row>
    <row r="66" customFormat="false" ht="19.5" hidden="false" customHeight="true" outlineLevel="0" collapsed="false">
      <c r="A66" s="2"/>
      <c r="B66" s="7" t="s">
        <v>96</v>
      </c>
      <c r="C66" s="7"/>
      <c r="D66" s="25" t="s">
        <v>72</v>
      </c>
      <c r="E66" s="25"/>
      <c r="F66" s="25" t="s">
        <v>86</v>
      </c>
      <c r="G66" s="25"/>
      <c r="H66" s="25" t="s">
        <v>97</v>
      </c>
      <c r="I66" s="25"/>
      <c r="J66" s="2"/>
      <c r="K66" s="2"/>
      <c r="L66" s="2"/>
    </row>
    <row r="67" customFormat="false" ht="19.5" hidden="false" customHeight="true" outlineLevel="0" collapsed="false">
      <c r="A67" s="2"/>
      <c r="B67" s="7" t="s">
        <v>98</v>
      </c>
      <c r="C67" s="7"/>
      <c r="D67" s="26" t="s">
        <v>48</v>
      </c>
      <c r="E67" s="26"/>
      <c r="F67" s="38" t="s">
        <v>80</v>
      </c>
      <c r="G67" s="38"/>
      <c r="H67" s="38" t="s">
        <v>80</v>
      </c>
      <c r="I67" s="38"/>
      <c r="J67" s="2"/>
      <c r="K67" s="2"/>
      <c r="L67" s="2"/>
    </row>
    <row r="68" customFormat="false" ht="19.5" hidden="false" customHeight="true" outlineLevel="0" collapsed="false">
      <c r="A68" s="2"/>
      <c r="B68" s="7" t="s">
        <v>99</v>
      </c>
      <c r="C68" s="7"/>
      <c r="D68" s="26" t="s">
        <v>48</v>
      </c>
      <c r="E68" s="26"/>
      <c r="F68" s="26" t="s">
        <v>48</v>
      </c>
      <c r="G68" s="26"/>
      <c r="H68" s="25" t="s">
        <v>100</v>
      </c>
      <c r="I68" s="25"/>
      <c r="J68" s="2"/>
      <c r="K68" s="2"/>
      <c r="L68" s="2"/>
    </row>
    <row r="69" customFormat="false" ht="19.5" hidden="false" customHeight="true" outlineLevel="0" collapsed="false">
      <c r="A69" s="2"/>
      <c r="B69" s="11" t="s">
        <v>101</v>
      </c>
      <c r="C69" s="11"/>
      <c r="D69" s="39" t="s">
        <v>102</v>
      </c>
      <c r="E69" s="39"/>
      <c r="F69" s="39" t="s">
        <v>103</v>
      </c>
      <c r="G69" s="39"/>
      <c r="H69" s="39" t="s">
        <v>104</v>
      </c>
      <c r="I69" s="39"/>
      <c r="J69" s="2"/>
      <c r="K69" s="2"/>
      <c r="L69" s="2"/>
    </row>
    <row r="70" customFormat="false" ht="13.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customFormat="false" ht="30" hidden="false" customHeight="true" outlineLevel="0" collapsed="false">
      <c r="A71" s="6" t="s">
        <v>105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2"/>
    </row>
    <row r="72" customFormat="false" ht="19.5" hidden="false" customHeight="true" outlineLevel="0" collapsed="false">
      <c r="A72" s="2"/>
      <c r="B72" s="34" t="s">
        <v>106</v>
      </c>
      <c r="C72" s="34"/>
      <c r="D72" s="7" t="s">
        <v>107</v>
      </c>
      <c r="E72" s="7"/>
      <c r="F72" s="7"/>
      <c r="G72" s="7"/>
      <c r="H72" s="7"/>
      <c r="I72" s="7"/>
      <c r="J72" s="7"/>
      <c r="K72" s="2"/>
      <c r="L72" s="2"/>
    </row>
    <row r="73" customFormat="false" ht="33" hidden="false" customHeight="true" outlineLevel="0" collapsed="false">
      <c r="A73" s="2"/>
      <c r="B73" s="34" t="s">
        <v>108</v>
      </c>
      <c r="C73" s="34"/>
      <c r="D73" s="7" t="s">
        <v>109</v>
      </c>
      <c r="E73" s="7"/>
      <c r="F73" s="7"/>
      <c r="G73" s="7"/>
      <c r="H73" s="7"/>
      <c r="I73" s="7"/>
      <c r="J73" s="7"/>
      <c r="K73" s="2"/>
      <c r="L73" s="2"/>
    </row>
    <row r="74" customFormat="false" ht="19.5" hidden="false" customHeight="true" outlineLevel="0" collapsed="false">
      <c r="A74" s="2"/>
      <c r="B74" s="34" t="s">
        <v>110</v>
      </c>
      <c r="C74" s="34"/>
      <c r="D74" s="7" t="s">
        <v>111</v>
      </c>
      <c r="E74" s="7"/>
      <c r="F74" s="7"/>
      <c r="G74" s="7"/>
      <c r="H74" s="7"/>
      <c r="I74" s="7"/>
      <c r="J74" s="7"/>
      <c r="K74" s="2"/>
      <c r="L74" s="2"/>
    </row>
    <row r="75" customFormat="false" ht="19.5" hidden="false" customHeight="true" outlineLevel="0" collapsed="false">
      <c r="A75" s="2"/>
      <c r="B75" s="34" t="s">
        <v>112</v>
      </c>
      <c r="C75" s="34"/>
      <c r="D75" s="7" t="s">
        <v>113</v>
      </c>
      <c r="E75" s="7"/>
      <c r="F75" s="7"/>
      <c r="G75" s="7"/>
      <c r="H75" s="7"/>
      <c r="I75" s="7"/>
      <c r="J75" s="7"/>
      <c r="K75" s="2"/>
      <c r="L75" s="2"/>
    </row>
    <row r="76" customFormat="false" ht="19.5" hidden="false" customHeight="true" outlineLevel="0" collapsed="false">
      <c r="A76" s="2"/>
      <c r="B76" s="34" t="s">
        <v>114</v>
      </c>
      <c r="C76" s="34"/>
      <c r="D76" s="7" t="s">
        <v>115</v>
      </c>
      <c r="E76" s="7"/>
      <c r="F76" s="7"/>
      <c r="G76" s="7"/>
      <c r="H76" s="7"/>
      <c r="I76" s="7"/>
      <c r="J76" s="7"/>
      <c r="K76" s="2"/>
      <c r="L76" s="2"/>
    </row>
    <row r="77" customFormat="false" ht="33" hidden="false" customHeight="true" outlineLevel="0" collapsed="false">
      <c r="A77" s="2"/>
      <c r="B77" s="35" t="s">
        <v>116</v>
      </c>
      <c r="C77" s="35"/>
      <c r="D77" s="11" t="s">
        <v>117</v>
      </c>
      <c r="E77" s="11"/>
      <c r="F77" s="11"/>
      <c r="G77" s="11"/>
      <c r="H77" s="11"/>
      <c r="I77" s="11"/>
      <c r="J77" s="11"/>
      <c r="K77" s="2"/>
      <c r="L77" s="2"/>
    </row>
    <row r="78" customFormat="false" ht="18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customFormat="false" ht="19.5" hidden="false" customHeight="true" outlineLevel="0" collapsed="false">
      <c r="A79" s="40" t="s">
        <v>118</v>
      </c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2"/>
    </row>
    <row r="80" customFormat="false" ht="18" hidden="false" customHeight="true" outlineLevel="0" collapsed="false"/>
  </sheetData>
  <mergeCells count="158">
    <mergeCell ref="A2:K2"/>
    <mergeCell ref="A3:K3"/>
    <mergeCell ref="B5:J5"/>
    <mergeCell ref="B6:C6"/>
    <mergeCell ref="B7:C7"/>
    <mergeCell ref="D7:J7"/>
    <mergeCell ref="B8:C8"/>
    <mergeCell ref="B9:C9"/>
    <mergeCell ref="D9:J9"/>
    <mergeCell ref="B10:C10"/>
    <mergeCell ref="D10:J10"/>
    <mergeCell ref="B11:C11"/>
    <mergeCell ref="D11:J11"/>
    <mergeCell ref="B12:C12"/>
    <mergeCell ref="D12:J12"/>
    <mergeCell ref="B13:C13"/>
    <mergeCell ref="D13:J13"/>
    <mergeCell ref="B14:J14"/>
    <mergeCell ref="A16:K16"/>
    <mergeCell ref="B17:C17"/>
    <mergeCell ref="H17:J17"/>
    <mergeCell ref="B18:C18"/>
    <mergeCell ref="B19:C19"/>
    <mergeCell ref="B20:C20"/>
    <mergeCell ref="B21:C21"/>
    <mergeCell ref="B22:C22"/>
    <mergeCell ref="B23:C23"/>
    <mergeCell ref="B24:C24"/>
    <mergeCell ref="B25:C25"/>
    <mergeCell ref="A27:K27"/>
    <mergeCell ref="D28:F28"/>
    <mergeCell ref="H28:J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J42"/>
    <mergeCell ref="A44:K44"/>
    <mergeCell ref="B45:C45"/>
    <mergeCell ref="D45:E45"/>
    <mergeCell ref="F45:G45"/>
    <mergeCell ref="H45:I45"/>
    <mergeCell ref="J45:K45"/>
    <mergeCell ref="B46:C46"/>
    <mergeCell ref="D46:E46"/>
    <mergeCell ref="F46:G46"/>
    <mergeCell ref="H46:I46"/>
    <mergeCell ref="J46:K46"/>
    <mergeCell ref="B47:C47"/>
    <mergeCell ref="D47:E47"/>
    <mergeCell ref="F47:G47"/>
    <mergeCell ref="H47:I47"/>
    <mergeCell ref="J47:K47"/>
    <mergeCell ref="B48:C48"/>
    <mergeCell ref="D48:E48"/>
    <mergeCell ref="F48:G48"/>
    <mergeCell ref="H48:I48"/>
    <mergeCell ref="J48:K48"/>
    <mergeCell ref="A50:K50"/>
    <mergeCell ref="B51:C51"/>
    <mergeCell ref="D51:E51"/>
    <mergeCell ref="F51:G51"/>
    <mergeCell ref="H51:I51"/>
    <mergeCell ref="B52:C52"/>
    <mergeCell ref="D52:E52"/>
    <mergeCell ref="F52:G52"/>
    <mergeCell ref="H52:I52"/>
    <mergeCell ref="B53:C53"/>
    <mergeCell ref="D53:E53"/>
    <mergeCell ref="F53:G53"/>
    <mergeCell ref="H53:I53"/>
    <mergeCell ref="B54:C54"/>
    <mergeCell ref="D54:E54"/>
    <mergeCell ref="F54:G54"/>
    <mergeCell ref="H54:I54"/>
    <mergeCell ref="B55:C55"/>
    <mergeCell ref="D55:E55"/>
    <mergeCell ref="F55:G55"/>
    <mergeCell ref="H55:I55"/>
    <mergeCell ref="B56:C56"/>
    <mergeCell ref="D56:E56"/>
    <mergeCell ref="F56:G56"/>
    <mergeCell ref="H56:I56"/>
    <mergeCell ref="B57:C57"/>
    <mergeCell ref="D57:E57"/>
    <mergeCell ref="F57:G57"/>
    <mergeCell ref="H57:I57"/>
    <mergeCell ref="B58:C58"/>
    <mergeCell ref="D58:E58"/>
    <mergeCell ref="F58:G58"/>
    <mergeCell ref="H58:I58"/>
    <mergeCell ref="B59:C59"/>
    <mergeCell ref="D59:E59"/>
    <mergeCell ref="F59:G59"/>
    <mergeCell ref="H59:I59"/>
    <mergeCell ref="B60:C60"/>
    <mergeCell ref="D60:E60"/>
    <mergeCell ref="F60:G60"/>
    <mergeCell ref="H60:I60"/>
    <mergeCell ref="B61:C61"/>
    <mergeCell ref="D61:E61"/>
    <mergeCell ref="F61:G61"/>
    <mergeCell ref="H61:I61"/>
    <mergeCell ref="B62:C62"/>
    <mergeCell ref="D62:E62"/>
    <mergeCell ref="F62:G62"/>
    <mergeCell ref="H62:I62"/>
    <mergeCell ref="B63:C63"/>
    <mergeCell ref="D63:E63"/>
    <mergeCell ref="F63:G63"/>
    <mergeCell ref="H63:I63"/>
    <mergeCell ref="B64:C64"/>
    <mergeCell ref="D64:E64"/>
    <mergeCell ref="F64:G64"/>
    <mergeCell ref="H64:I64"/>
    <mergeCell ref="B65:C65"/>
    <mergeCell ref="D65:E65"/>
    <mergeCell ref="F65:G65"/>
    <mergeCell ref="H65:I65"/>
    <mergeCell ref="B66:C66"/>
    <mergeCell ref="D66:E66"/>
    <mergeCell ref="F66:G66"/>
    <mergeCell ref="H66:I66"/>
    <mergeCell ref="B67:C67"/>
    <mergeCell ref="D67:E67"/>
    <mergeCell ref="F67:G67"/>
    <mergeCell ref="H67:I67"/>
    <mergeCell ref="B68:C68"/>
    <mergeCell ref="D68:E68"/>
    <mergeCell ref="F68:G68"/>
    <mergeCell ref="H68:I68"/>
    <mergeCell ref="B69:C69"/>
    <mergeCell ref="D69:E69"/>
    <mergeCell ref="F69:G69"/>
    <mergeCell ref="H69:I69"/>
    <mergeCell ref="A71:K71"/>
    <mergeCell ref="B72:C72"/>
    <mergeCell ref="D72:J72"/>
    <mergeCell ref="B73:C73"/>
    <mergeCell ref="D73:J73"/>
    <mergeCell ref="B74:C74"/>
    <mergeCell ref="D74:J74"/>
    <mergeCell ref="B75:C75"/>
    <mergeCell ref="D75:J75"/>
    <mergeCell ref="B76:C76"/>
    <mergeCell ref="D76:J76"/>
    <mergeCell ref="B77:C77"/>
    <mergeCell ref="D77:J77"/>
    <mergeCell ref="A79:K79"/>
  </mergeCells>
  <printOptions headings="false" gridLines="false" gridLinesSet="true" horizontalCentered="true" verticalCentered="false"/>
  <pageMargins left="0.4" right="0.4" top="0.55" bottom="0.55" header="0.25" footer="0.25"/>
  <pageSetup paperSize="9" scale="83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&amp;L&amp;8 &amp;K808080ImpactLens · Pricing Model</oddHeader>
    <oddFooter>&amp;L&amp;8 &amp;K808080&amp;A&amp;R&amp;8 &amp;K808080Page &amp;P of &amp;N</oddFooter>
  </headerFooter>
  <rowBreaks count="3" manualBreakCount="3">
    <brk id="25" man="true" max="16383" min="0"/>
    <brk id="48" man="true" max="16383" min="0"/>
    <brk id="6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6" min="3" style="1" width="14"/>
    <col collapsed="false" customWidth="true" hidden="false" outlineLevel="0" max="7" min="7" style="1" width="72"/>
    <col collapsed="false" customWidth="true" hidden="false" outlineLevel="0" max="8" min="8" style="0" width="2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33.75" hidden="false" customHeight="true" outlineLevel="0" collapsed="false">
      <c r="A2" s="2"/>
      <c r="B2" s="3" t="s">
        <v>119</v>
      </c>
      <c r="C2" s="3"/>
      <c r="D2" s="3"/>
      <c r="E2" s="3"/>
      <c r="F2" s="3"/>
      <c r="G2" s="3"/>
      <c r="H2" s="2"/>
    </row>
    <row r="3" customFormat="false" ht="31.5" hidden="false" customHeight="true" outlineLevel="0" collapsed="false">
      <c r="A3" s="2"/>
      <c r="B3" s="4" t="s">
        <v>120</v>
      </c>
      <c r="C3" s="4"/>
      <c r="D3" s="4"/>
      <c r="E3" s="4"/>
      <c r="F3" s="4"/>
      <c r="G3" s="4"/>
      <c r="H3" s="2"/>
    </row>
    <row r="4" customFormat="false" ht="13.5" hidden="false" customHeight="true" outlineLevel="0" collapsed="false">
      <c r="A4" s="2"/>
      <c r="B4" s="41"/>
      <c r="C4" s="41"/>
      <c r="D4" s="41"/>
      <c r="E4" s="41"/>
      <c r="F4" s="41"/>
      <c r="G4" s="41"/>
      <c r="H4" s="2"/>
    </row>
    <row r="5" customFormat="false" ht="30" hidden="false" customHeight="true" outlineLevel="0" collapsed="false">
      <c r="A5" s="2"/>
      <c r="B5" s="6" t="s">
        <v>121</v>
      </c>
      <c r="C5" s="6"/>
      <c r="D5" s="6"/>
      <c r="E5" s="6"/>
      <c r="F5" s="6"/>
      <c r="G5" s="6"/>
      <c r="H5" s="2"/>
    </row>
    <row r="6" customFormat="false" ht="25.5" hidden="false" customHeight="true" outlineLevel="0" collapsed="false">
      <c r="A6" s="2"/>
      <c r="B6" s="13" t="s">
        <v>122</v>
      </c>
      <c r="C6" s="14" t="s">
        <v>123</v>
      </c>
      <c r="D6" s="42"/>
      <c r="E6" s="42"/>
      <c r="F6" s="42"/>
      <c r="G6" s="14" t="s">
        <v>124</v>
      </c>
      <c r="H6" s="2"/>
    </row>
    <row r="7" customFormat="false" ht="33" hidden="false" customHeight="true" outlineLevel="0" collapsed="false">
      <c r="A7" s="2"/>
      <c r="B7" s="7" t="s">
        <v>125</v>
      </c>
      <c r="C7" s="43" t="n">
        <v>34</v>
      </c>
      <c r="D7" s="44"/>
      <c r="E7" s="44"/>
      <c r="F7" s="44"/>
      <c r="G7" s="45" t="s">
        <v>126</v>
      </c>
      <c r="H7" s="2"/>
    </row>
    <row r="8" customFormat="false" ht="33" hidden="false" customHeight="true" outlineLevel="0" collapsed="false">
      <c r="A8" s="2"/>
      <c r="B8" s="7" t="s">
        <v>127</v>
      </c>
      <c r="C8" s="10" t="n">
        <v>0.9</v>
      </c>
      <c r="D8" s="44"/>
      <c r="E8" s="44"/>
      <c r="F8" s="44"/>
      <c r="G8" s="45" t="s">
        <v>128</v>
      </c>
      <c r="H8" s="2"/>
    </row>
    <row r="9" customFormat="false" ht="19.5" hidden="false" customHeight="true" outlineLevel="0" collapsed="false">
      <c r="A9" s="2"/>
      <c r="B9" s="7" t="s">
        <v>129</v>
      </c>
      <c r="C9" s="10" t="n">
        <v>1</v>
      </c>
      <c r="D9" s="44"/>
      <c r="E9" s="44"/>
      <c r="F9" s="44"/>
      <c r="G9" s="45" t="s">
        <v>130</v>
      </c>
      <c r="H9" s="2"/>
    </row>
    <row r="10" customFormat="false" ht="45.75" hidden="false" customHeight="true" outlineLevel="0" collapsed="false">
      <c r="A10" s="2"/>
      <c r="B10" s="11" t="s">
        <v>131</v>
      </c>
      <c r="C10" s="46" t="n">
        <v>0.5</v>
      </c>
      <c r="D10" s="47"/>
      <c r="E10" s="47"/>
      <c r="F10" s="47"/>
      <c r="G10" s="48" t="s">
        <v>132</v>
      </c>
      <c r="H10" s="2"/>
    </row>
    <row r="11" customFormat="false" ht="13.5" hidden="false" customHeight="true" outlineLevel="0" collapsed="false">
      <c r="A11" s="2"/>
      <c r="B11" s="41"/>
      <c r="C11" s="41"/>
      <c r="D11" s="41"/>
      <c r="E11" s="41"/>
      <c r="F11" s="41"/>
      <c r="G11" s="41"/>
      <c r="H11" s="2"/>
    </row>
    <row r="12" customFormat="false" ht="30" hidden="false" customHeight="true" outlineLevel="0" collapsed="false">
      <c r="A12" s="2"/>
      <c r="B12" s="6" t="s">
        <v>133</v>
      </c>
      <c r="C12" s="6"/>
      <c r="D12" s="6"/>
      <c r="E12" s="6"/>
      <c r="F12" s="6"/>
      <c r="G12" s="6"/>
      <c r="H12" s="2"/>
    </row>
    <row r="13" customFormat="false" ht="19.5" hidden="false" customHeight="true" outlineLevel="0" collapsed="false">
      <c r="A13" s="2"/>
      <c r="B13" s="7" t="s">
        <v>134</v>
      </c>
      <c r="C13" s="49" t="n">
        <v>89</v>
      </c>
      <c r="D13" s="44"/>
      <c r="E13" s="44"/>
      <c r="F13" s="44"/>
      <c r="G13" s="45" t="s">
        <v>135</v>
      </c>
      <c r="H13" s="2"/>
    </row>
    <row r="14" customFormat="false" ht="19.5" hidden="false" customHeight="true" outlineLevel="0" collapsed="false">
      <c r="A14" s="2"/>
      <c r="B14" s="7" t="s">
        <v>136</v>
      </c>
      <c r="C14" s="49" t="n">
        <v>99</v>
      </c>
      <c r="D14" s="44"/>
      <c r="E14" s="44"/>
      <c r="F14" s="44"/>
      <c r="G14" s="45" t="s">
        <v>135</v>
      </c>
      <c r="H14" s="2"/>
    </row>
    <row r="15" customFormat="false" ht="33" hidden="false" customHeight="true" outlineLevel="0" collapsed="false">
      <c r="A15" s="2"/>
      <c r="B15" s="7" t="s">
        <v>137</v>
      </c>
      <c r="C15" s="50" t="n">
        <v>225</v>
      </c>
      <c r="D15" s="44"/>
      <c r="E15" s="44"/>
      <c r="F15" s="44"/>
      <c r="G15" s="45" t="s">
        <v>138</v>
      </c>
      <c r="H15" s="2"/>
    </row>
    <row r="16" customFormat="false" ht="19.5" hidden="false" customHeight="true" outlineLevel="0" collapsed="false">
      <c r="A16" s="2"/>
      <c r="B16" s="7" t="s">
        <v>139</v>
      </c>
      <c r="C16" s="51" t="n">
        <f aca="false">'ImpactLens Pricing'!D8</f>
        <v>96.07</v>
      </c>
      <c r="D16" s="44"/>
      <c r="E16" s="44"/>
      <c r="F16" s="44"/>
      <c r="G16" s="45" t="s">
        <v>140</v>
      </c>
      <c r="H16" s="2"/>
    </row>
    <row r="17" customFormat="false" ht="19.5" hidden="false" customHeight="true" outlineLevel="0" collapsed="false">
      <c r="A17" s="2"/>
      <c r="B17" s="7" t="s">
        <v>141</v>
      </c>
      <c r="C17" s="52" t="n">
        <f aca="false">C13/C15*C16</f>
        <v>38.0010222222222</v>
      </c>
      <c r="D17" s="44"/>
      <c r="E17" s="44"/>
      <c r="F17" s="44"/>
      <c r="G17" s="45" t="s">
        <v>142</v>
      </c>
      <c r="H17" s="2"/>
    </row>
    <row r="18" customFormat="false" ht="19.5" hidden="false" customHeight="true" outlineLevel="0" collapsed="false">
      <c r="A18" s="2"/>
      <c r="B18" s="7" t="s">
        <v>143</v>
      </c>
      <c r="C18" s="52" t="n">
        <f aca="false">C14/C15*C16</f>
        <v>42.2708</v>
      </c>
      <c r="D18" s="44"/>
      <c r="E18" s="44"/>
      <c r="F18" s="44"/>
      <c r="G18" s="45" t="s">
        <v>142</v>
      </c>
      <c r="H18" s="2"/>
    </row>
    <row r="19" customFormat="false" ht="33" hidden="false" customHeight="true" outlineLevel="0" collapsed="false">
      <c r="A19" s="2"/>
      <c r="B19" s="21" t="s">
        <v>144</v>
      </c>
      <c r="C19" s="22" t="n">
        <f aca="false">C7/C17-1</f>
        <v>-0.105287226191576</v>
      </c>
      <c r="D19" s="53"/>
      <c r="E19" s="53"/>
      <c r="F19" s="53"/>
      <c r="G19" s="54" t="s">
        <v>145</v>
      </c>
      <c r="H19" s="2"/>
    </row>
    <row r="20" customFormat="false" ht="31.5" hidden="false" customHeight="true" outlineLevel="0" collapsed="false">
      <c r="A20" s="2"/>
      <c r="B20" s="12" t="s">
        <v>146</v>
      </c>
      <c r="C20" s="12"/>
      <c r="D20" s="12"/>
      <c r="E20" s="12"/>
      <c r="F20" s="12"/>
      <c r="G20" s="12"/>
      <c r="H20" s="2"/>
    </row>
    <row r="21" customFormat="false" ht="13.5" hidden="false" customHeight="true" outlineLevel="0" collapsed="false">
      <c r="A21" s="2"/>
      <c r="B21" s="41"/>
      <c r="C21" s="41"/>
      <c r="D21" s="41"/>
      <c r="E21" s="41"/>
      <c r="F21" s="41"/>
      <c r="G21" s="41"/>
      <c r="H21" s="2"/>
    </row>
    <row r="22" customFormat="false" ht="30" hidden="false" customHeight="true" outlineLevel="0" collapsed="false">
      <c r="A22" s="2"/>
      <c r="B22" s="6" t="s">
        <v>147</v>
      </c>
      <c r="C22" s="6"/>
      <c r="D22" s="6"/>
      <c r="E22" s="6"/>
      <c r="F22" s="6"/>
      <c r="G22" s="6"/>
      <c r="H22" s="2"/>
    </row>
    <row r="23" customFormat="false" ht="25.5" hidden="false" customHeight="true" outlineLevel="0" collapsed="false">
      <c r="A23" s="2"/>
      <c r="B23" s="13" t="s">
        <v>148</v>
      </c>
      <c r="C23" s="14" t="s">
        <v>59</v>
      </c>
      <c r="D23" s="14" t="s">
        <v>60</v>
      </c>
      <c r="E23" s="14" t="s">
        <v>61</v>
      </c>
      <c r="F23" s="42"/>
      <c r="G23" s="14" t="s">
        <v>149</v>
      </c>
      <c r="H23" s="2"/>
    </row>
    <row r="24" customFormat="false" ht="19.5" hidden="false" customHeight="true" outlineLevel="0" collapsed="false">
      <c r="A24" s="2"/>
      <c r="B24" s="7" t="s">
        <v>27</v>
      </c>
      <c r="C24" s="17" t="n">
        <f aca="false">'ImpactLens Pricing'!D31</f>
        <v>2999</v>
      </c>
      <c r="D24" s="17" t="n">
        <f aca="false">'ImpactLens Pricing'!E31</f>
        <v>7999</v>
      </c>
      <c r="E24" s="17" t="n">
        <f aca="false">'ImpactLens Pricing'!F31</f>
        <v>19999</v>
      </c>
      <c r="F24" s="44"/>
      <c r="G24" s="45" t="s">
        <v>150</v>
      </c>
      <c r="H24" s="2"/>
    </row>
    <row r="25" customFormat="false" ht="19.5" hidden="false" customHeight="true" outlineLevel="0" collapsed="false">
      <c r="A25" s="2"/>
      <c r="B25" s="7" t="s">
        <v>151</v>
      </c>
      <c r="C25" s="17" t="n">
        <f aca="false">'ImpactLens Pricing'!D23</f>
        <v>433</v>
      </c>
      <c r="D25" s="17" t="n">
        <f aca="false">'ImpactLens Pricing'!E23</f>
        <v>2780</v>
      </c>
      <c r="E25" s="17" t="n">
        <f aca="false">'ImpactLens Pricing'!F23</f>
        <v>10250</v>
      </c>
      <c r="F25" s="44"/>
      <c r="G25" s="45" t="s">
        <v>152</v>
      </c>
      <c r="H25" s="2"/>
    </row>
    <row r="26" customFormat="false" ht="33" hidden="false" customHeight="true" outlineLevel="0" collapsed="false">
      <c r="A26" s="2"/>
      <c r="B26" s="30" t="s">
        <v>153</v>
      </c>
      <c r="C26" s="55" t="n">
        <f aca="false">(C24-C25)/C24</f>
        <v>0.855618539513171</v>
      </c>
      <c r="D26" s="55" t="n">
        <f aca="false">(D24-D25)/D24</f>
        <v>0.652456557069634</v>
      </c>
      <c r="E26" s="55" t="n">
        <f aca="false">(E24-E25)/E24</f>
        <v>0.487474373718686</v>
      </c>
      <c r="F26" s="56"/>
      <c r="G26" s="57" t="s">
        <v>154</v>
      </c>
      <c r="H26" s="2"/>
    </row>
    <row r="27" customFormat="false" ht="19.5" hidden="false" customHeight="true" outlineLevel="0" collapsed="false">
      <c r="A27" s="2"/>
      <c r="B27" s="7" t="s">
        <v>155</v>
      </c>
      <c r="C27" s="17" t="n">
        <f aca="false">'ImpactLens Pricing'!D18*$C$17+'ImpactLens Pricing'!D21+'ImpactLens Pricing'!D22</f>
        <v>473.010222222222</v>
      </c>
      <c r="D27" s="17" t="n">
        <f aca="false">'ImpactLens Pricing'!E18*$C$17+'ImpactLens Pricing'!E21+'ImpactLens Pricing'!E22</f>
        <v>2980.05111111111</v>
      </c>
      <c r="E27" s="17" t="n">
        <f aca="false">'ImpactLens Pricing'!F18*$C$17+'ImpactLens Pricing'!F21+'ImpactLens Pricing'!F22</f>
        <v>10850.1533333333</v>
      </c>
      <c r="F27" s="44"/>
      <c r="G27" s="45" t="s">
        <v>156</v>
      </c>
      <c r="H27" s="2"/>
    </row>
    <row r="28" customFormat="false" ht="19.5" hidden="false" customHeight="true" outlineLevel="0" collapsed="false">
      <c r="A28" s="2"/>
      <c r="B28" s="30" t="s">
        <v>157</v>
      </c>
      <c r="C28" s="55" t="n">
        <f aca="false">(C24-C27)/C24</f>
        <v>0.842277351709829</v>
      </c>
      <c r="D28" s="55" t="n">
        <f aca="false">(D24-D27)/D24</f>
        <v>0.62744704199136</v>
      </c>
      <c r="E28" s="55" t="n">
        <f aca="false">(E24-E27)/E24</f>
        <v>0.457465206593663</v>
      </c>
      <c r="F28" s="56"/>
      <c r="G28" s="57" t="s">
        <v>158</v>
      </c>
      <c r="H28" s="2"/>
    </row>
    <row r="29" customFormat="false" ht="33" hidden="false" customHeight="true" outlineLevel="0" collapsed="false">
      <c r="A29" s="2"/>
      <c r="B29" s="7" t="s">
        <v>159</v>
      </c>
      <c r="C29" s="58" t="n">
        <v>6</v>
      </c>
      <c r="D29" s="44"/>
      <c r="E29" s="44"/>
      <c r="F29" s="44"/>
      <c r="G29" s="45" t="s">
        <v>160</v>
      </c>
      <c r="H29" s="2"/>
    </row>
    <row r="30" customFormat="false" ht="33" hidden="false" customHeight="true" outlineLevel="0" collapsed="false">
      <c r="A30" s="2"/>
      <c r="B30" s="7" t="s">
        <v>161</v>
      </c>
      <c r="C30" s="20" t="n">
        <f aca="false">C27</f>
        <v>473.010222222222</v>
      </c>
      <c r="D30" s="17" t="n">
        <f aca="false">'ImpactLens Pricing'!E18*$C$17+'ImpactLens Pricing'!E21*$C$29+'ImpactLens Pricing'!E22</f>
        <v>7480.05111111111</v>
      </c>
      <c r="E30" s="17" t="n">
        <f aca="false">'ImpactLens Pricing'!F18*$C$17+'ImpactLens Pricing'!F21*$C$29+'ImpactLens Pricing'!F22</f>
        <v>33350.1533333333</v>
      </c>
      <c r="F30" s="44"/>
      <c r="G30" s="45" t="s">
        <v>162</v>
      </c>
      <c r="H30" s="2"/>
    </row>
    <row r="31" customFormat="false" ht="19.5" hidden="false" customHeight="true" outlineLevel="0" collapsed="false">
      <c r="A31" s="2"/>
      <c r="B31" s="21" t="s">
        <v>163</v>
      </c>
      <c r="C31" s="22" t="n">
        <f aca="false">(C24-C30)/C24</f>
        <v>0.842277351709829</v>
      </c>
      <c r="D31" s="22" t="n">
        <f aca="false">(D24-D30)/D24</f>
        <v>0.0648767207011988</v>
      </c>
      <c r="E31" s="22" t="n">
        <f aca="false">(E24-E30)/E24</f>
        <v>-0.667591046218978</v>
      </c>
      <c r="F31" s="53"/>
      <c r="G31" s="54" t="s">
        <v>164</v>
      </c>
      <c r="H31" s="2"/>
    </row>
    <row r="32" customFormat="false" ht="31.5" hidden="false" customHeight="true" outlineLevel="0" collapsed="false">
      <c r="A32" s="2"/>
      <c r="B32" s="12" t="s">
        <v>165</v>
      </c>
      <c r="C32" s="12"/>
      <c r="D32" s="12"/>
      <c r="E32" s="12"/>
      <c r="F32" s="12"/>
      <c r="G32" s="12"/>
      <c r="H32" s="2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</row>
    <row r="34" customFormat="false" ht="30" hidden="false" customHeight="true" outlineLevel="0" collapsed="false">
      <c r="A34" s="2"/>
      <c r="B34" s="6" t="s">
        <v>166</v>
      </c>
      <c r="C34" s="6"/>
      <c r="D34" s="6"/>
      <c r="E34" s="6"/>
      <c r="F34" s="6"/>
      <c r="G34" s="6"/>
      <c r="H34" s="2"/>
    </row>
    <row r="35" customFormat="false" ht="25.5" hidden="false" customHeight="true" outlineLevel="0" collapsed="false">
      <c r="A35" s="2"/>
      <c r="B35" s="13" t="s">
        <v>148</v>
      </c>
      <c r="C35" s="14" t="s">
        <v>59</v>
      </c>
      <c r="D35" s="14" t="s">
        <v>60</v>
      </c>
      <c r="E35" s="14" t="s">
        <v>61</v>
      </c>
      <c r="F35" s="42"/>
      <c r="G35" s="14" t="s">
        <v>149</v>
      </c>
      <c r="H35" s="2"/>
    </row>
    <row r="36" customFormat="false" ht="19.5" hidden="false" customHeight="true" outlineLevel="0" collapsed="false">
      <c r="A36" s="2"/>
      <c r="B36" s="7" t="s">
        <v>167</v>
      </c>
      <c r="C36" s="50" t="n">
        <v>3</v>
      </c>
      <c r="D36" s="50" t="n">
        <v>30</v>
      </c>
      <c r="E36" s="50" t="n">
        <v>150</v>
      </c>
      <c r="F36" s="44"/>
      <c r="G36" s="45" t="s">
        <v>168</v>
      </c>
      <c r="H36" s="2"/>
    </row>
    <row r="37" customFormat="false" ht="19.5" hidden="false" customHeight="true" outlineLevel="0" collapsed="false">
      <c r="A37" s="2"/>
      <c r="B37" s="7" t="s">
        <v>169</v>
      </c>
      <c r="C37" s="20" t="n">
        <f aca="false">C36*$C$9</f>
        <v>3</v>
      </c>
      <c r="D37" s="20" t="n">
        <f aca="false">D36*$C$9</f>
        <v>30</v>
      </c>
      <c r="E37" s="20" t="n">
        <f aca="false">E36*$C$9</f>
        <v>150</v>
      </c>
      <c r="F37" s="44"/>
      <c r="G37" s="44"/>
      <c r="H37" s="2"/>
    </row>
    <row r="38" customFormat="false" ht="19.5" hidden="false" customHeight="true" outlineLevel="0" collapsed="false">
      <c r="A38" s="2"/>
      <c r="B38" s="7" t="s">
        <v>170</v>
      </c>
      <c r="C38" s="17" t="n">
        <f aca="false">'ImpactLens Pricing'!D22-C37</f>
        <v>0</v>
      </c>
      <c r="D38" s="17" t="n">
        <f aca="false">'ImpactLens Pricing'!E22-D37</f>
        <v>150</v>
      </c>
      <c r="E38" s="17" t="n">
        <f aca="false">'ImpactLens Pricing'!F22-E37</f>
        <v>500</v>
      </c>
      <c r="F38" s="44"/>
      <c r="G38" s="44"/>
      <c r="H38" s="2"/>
    </row>
    <row r="39" customFormat="false" ht="33" hidden="false" customHeight="true" outlineLevel="0" collapsed="false">
      <c r="A39" s="2"/>
      <c r="B39" s="21" t="s">
        <v>171</v>
      </c>
      <c r="C39" s="59" t="n">
        <f aca="false">C38/$C$10</f>
        <v>0</v>
      </c>
      <c r="D39" s="59" t="n">
        <f aca="false">D38/$C$10</f>
        <v>300</v>
      </c>
      <c r="E39" s="59" t="n">
        <f aca="false">E38/$C$10</f>
        <v>1000</v>
      </c>
      <c r="F39" s="53"/>
      <c r="G39" s="54" t="s">
        <v>172</v>
      </c>
      <c r="H39" s="2"/>
    </row>
    <row r="40" customFormat="false" ht="13.5" hidden="false" customHeight="true" outlineLevel="0" collapsed="false">
      <c r="A40" s="2"/>
      <c r="B40" s="41"/>
      <c r="C40" s="41"/>
      <c r="D40" s="41"/>
      <c r="E40" s="41"/>
      <c r="F40" s="41"/>
      <c r="G40" s="41"/>
      <c r="H40" s="2"/>
    </row>
    <row r="41" customFormat="false" ht="30" hidden="false" customHeight="true" outlineLevel="0" collapsed="false">
      <c r="A41" s="2"/>
      <c r="B41" s="6" t="s">
        <v>173</v>
      </c>
      <c r="C41" s="6"/>
      <c r="D41" s="6"/>
      <c r="E41" s="6"/>
      <c r="F41" s="6"/>
      <c r="G41" s="6"/>
      <c r="H41" s="2"/>
    </row>
    <row r="42" customFormat="false" ht="33.75" hidden="false" customHeight="true" outlineLevel="0" collapsed="false">
      <c r="A42" s="2"/>
      <c r="B42" s="13" t="s">
        <v>148</v>
      </c>
      <c r="C42" s="14" t="s">
        <v>174</v>
      </c>
      <c r="D42" s="14" t="s">
        <v>175</v>
      </c>
      <c r="E42" s="14" t="s">
        <v>176</v>
      </c>
      <c r="F42" s="14" t="s">
        <v>177</v>
      </c>
      <c r="G42" s="14" t="s">
        <v>149</v>
      </c>
      <c r="H42" s="2"/>
    </row>
    <row r="43" customFormat="false" ht="33" hidden="false" customHeight="true" outlineLevel="0" collapsed="false">
      <c r="A43" s="2"/>
      <c r="B43" s="7" t="s">
        <v>178</v>
      </c>
      <c r="C43" s="58" t="n">
        <v>5</v>
      </c>
      <c r="D43" s="58" t="n">
        <v>100</v>
      </c>
      <c r="E43" s="60"/>
      <c r="F43" s="61"/>
      <c r="G43" s="45" t="s">
        <v>179</v>
      </c>
      <c r="H43" s="2"/>
    </row>
    <row r="44" customFormat="false" ht="33" hidden="false" customHeight="true" outlineLevel="0" collapsed="false">
      <c r="A44" s="2"/>
      <c r="B44" s="7" t="s">
        <v>180</v>
      </c>
      <c r="C44" s="60"/>
      <c r="D44" s="60"/>
      <c r="E44" s="60"/>
      <c r="F44" s="61"/>
      <c r="G44" s="45" t="s">
        <v>181</v>
      </c>
      <c r="H44" s="2"/>
    </row>
    <row r="45" customFormat="false" ht="19.5" hidden="false" customHeight="true" outlineLevel="0" collapsed="false">
      <c r="A45" s="2"/>
      <c r="B45" s="7" t="s">
        <v>182</v>
      </c>
      <c r="C45" s="20" t="n">
        <f aca="false">N(C43)*N($F$43)+N(C44)*N($F$44)</f>
        <v>0</v>
      </c>
      <c r="D45" s="20" t="n">
        <f aca="false">N(D43)*N($F$43)+N(D44)*N($F$44)</f>
        <v>0</v>
      </c>
      <c r="E45" s="20" t="n">
        <f aca="false">N(E43)*N($F$43)+N(E44)*N($F$44)</f>
        <v>0</v>
      </c>
      <c r="F45" s="44"/>
      <c r="G45" s="44"/>
      <c r="H45" s="2"/>
    </row>
    <row r="46" customFormat="false" ht="19.5" hidden="false" customHeight="true" outlineLevel="0" collapsed="false">
      <c r="A46" s="2"/>
      <c r="B46" s="21" t="s">
        <v>183</v>
      </c>
      <c r="C46" s="22" t="n">
        <f aca="false">(C24-C25-C45)/C24</f>
        <v>0.855618539513171</v>
      </c>
      <c r="D46" s="22" t="n">
        <f aca="false">(D24-D25-D45)/D24</f>
        <v>0.652456557069634</v>
      </c>
      <c r="E46" s="22" t="n">
        <f aca="false">(E24-E25-E45)/E24</f>
        <v>0.487474373718686</v>
      </c>
      <c r="F46" s="53"/>
      <c r="G46" s="53"/>
      <c r="H46" s="2"/>
    </row>
    <row r="47" customFormat="false" ht="31.5" hidden="false" customHeight="true" outlineLevel="0" collapsed="false">
      <c r="A47" s="2"/>
      <c r="B47" s="12" t="s">
        <v>184</v>
      </c>
      <c r="C47" s="12"/>
      <c r="D47" s="12"/>
      <c r="E47" s="12"/>
      <c r="F47" s="12"/>
      <c r="G47" s="12"/>
      <c r="H47" s="2"/>
    </row>
    <row r="48" customFormat="false" ht="18" hidden="false" customHeight="true" outlineLevel="0" collapsed="false"/>
  </sheetData>
  <mergeCells count="10">
    <mergeCell ref="B2:G2"/>
    <mergeCell ref="B3:G3"/>
    <mergeCell ref="B5:G5"/>
    <mergeCell ref="B12:G12"/>
    <mergeCell ref="B20:G20"/>
    <mergeCell ref="B22:G22"/>
    <mergeCell ref="B32:G32"/>
    <mergeCell ref="B34:G34"/>
    <mergeCell ref="B41:G41"/>
    <mergeCell ref="B47:G47"/>
  </mergeCells>
  <printOptions headings="false" gridLines="false" gridLinesSet="true" horizontalCentered="true" verticalCentered="false"/>
  <pageMargins left="0.4" right="0.4" top="0.55" bottom="0.55" header="0.25" footer="0.25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&amp;L&amp;8 &amp;K808080ImpactLens · Pricing Model</oddHeader>
    <oddFooter>&amp;L&amp;8 &amp;K808080&amp;A&amp;R&amp;8 &amp;K808080Page &amp;P of &amp;N</oddFooter>
  </headerFooter>
  <rowBreaks count="2" manualBreakCount="2">
    <brk id="20" man="true" max="16383" min="0"/>
    <brk id="32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40"/>
    <col collapsed="false" customWidth="true" hidden="false" outlineLevel="0" max="5" min="5" style="1" width="12"/>
    <col collapsed="false" customWidth="true" hidden="false" outlineLevel="0" max="7" min="6" style="1" width="26"/>
    <col collapsed="false" customWidth="true" hidden="false" outlineLevel="0" max="9" min="8" style="1" width="13"/>
    <col collapsed="false" customWidth="true" hidden="false" outlineLevel="0" max="10" min="10" style="1" width="34"/>
    <col collapsed="false" customWidth="true" hidden="false" outlineLevel="0" max="12" min="11" style="1" width="12"/>
    <col collapsed="false" customWidth="true" hidden="false" outlineLevel="0" max="13" min="13" style="0" width="2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2"/>
      <c r="B2" s="3" t="s">
        <v>185</v>
      </c>
      <c r="C2" s="3"/>
      <c r="D2" s="3"/>
      <c r="E2" s="3"/>
      <c r="F2" s="3"/>
      <c r="G2" s="3"/>
      <c r="H2" s="3"/>
      <c r="I2" s="3"/>
      <c r="J2" s="3"/>
      <c r="K2" s="3"/>
      <c r="L2" s="3"/>
      <c r="M2" s="2"/>
    </row>
    <row r="3" customFormat="false" ht="31.5" hidden="false" customHeight="true" outlineLevel="0" collapsed="false">
      <c r="A3" s="2"/>
      <c r="B3" s="4" t="s">
        <v>186</v>
      </c>
      <c r="C3" s="4"/>
      <c r="D3" s="4"/>
      <c r="E3" s="4"/>
      <c r="F3" s="4"/>
      <c r="G3" s="4"/>
      <c r="H3" s="4"/>
      <c r="I3" s="4"/>
      <c r="J3" s="4"/>
      <c r="K3" s="4"/>
      <c r="L3" s="4"/>
      <c r="M3" s="2"/>
    </row>
    <row r="4" customFormat="false" ht="13.5" hidden="false" customHeight="true" outlineLevel="0" collapsed="false">
      <c r="A4" s="2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2"/>
    </row>
    <row r="5" customFormat="false" ht="30" hidden="false" customHeight="true" outlineLevel="0" collapsed="false">
      <c r="A5" s="2"/>
      <c r="B5" s="6" t="s">
        <v>187</v>
      </c>
      <c r="C5" s="6"/>
      <c r="D5" s="6"/>
      <c r="E5" s="6"/>
      <c r="F5" s="6"/>
      <c r="G5" s="6"/>
      <c r="H5" s="6"/>
      <c r="I5" s="6"/>
      <c r="J5" s="6"/>
      <c r="K5" s="6"/>
      <c r="L5" s="6"/>
      <c r="M5" s="2"/>
    </row>
    <row r="6" customFormat="false" ht="33.75" hidden="false" customHeight="true" outlineLevel="0" collapsed="false">
      <c r="A6" s="2"/>
      <c r="B6" s="13" t="s">
        <v>54</v>
      </c>
      <c r="C6" s="42"/>
      <c r="D6" s="42"/>
      <c r="E6" s="14" t="s">
        <v>188</v>
      </c>
      <c r="F6" s="42"/>
      <c r="G6" s="42"/>
      <c r="H6" s="14" t="s">
        <v>189</v>
      </c>
      <c r="I6" s="14" t="s">
        <v>190</v>
      </c>
      <c r="J6" s="41"/>
      <c r="K6" s="41"/>
      <c r="L6" s="41"/>
      <c r="M6" s="2"/>
    </row>
    <row r="7" customFormat="false" ht="19.5" hidden="false" customHeight="true" outlineLevel="0" collapsed="false">
      <c r="A7" s="2"/>
      <c r="B7" s="7" t="s">
        <v>191</v>
      </c>
      <c r="C7" s="44"/>
      <c r="D7" s="44"/>
      <c r="E7" s="62" t="n">
        <f aca="false">'ImpactLens Pricing'!D31/'ImpactLens Pricing'!$D$8</f>
        <v>31.2168210679713</v>
      </c>
      <c r="F7" s="44"/>
      <c r="G7" s="44"/>
      <c r="H7" s="17" t="n">
        <f aca="false">'ImpactLens Pricing'!D31</f>
        <v>2999</v>
      </c>
      <c r="I7" s="63" t="n">
        <f aca="false">E7/$E$8</f>
        <v>0.374921865233154</v>
      </c>
      <c r="J7" s="41"/>
      <c r="K7" s="41"/>
      <c r="L7" s="41"/>
      <c r="M7" s="2"/>
    </row>
    <row r="8" customFormat="false" ht="19.5" hidden="false" customHeight="true" outlineLevel="0" collapsed="false">
      <c r="A8" s="2"/>
      <c r="B8" s="7" t="s">
        <v>192</v>
      </c>
      <c r="C8" s="44"/>
      <c r="D8" s="44"/>
      <c r="E8" s="62" t="n">
        <f aca="false">'ImpactLens Pricing'!E31/'ImpactLens Pricing'!$D$8</f>
        <v>83.2622046424482</v>
      </c>
      <c r="F8" s="44"/>
      <c r="G8" s="44"/>
      <c r="H8" s="17" t="n">
        <f aca="false">'ImpactLens Pricing'!E31</f>
        <v>7999</v>
      </c>
      <c r="I8" s="63" t="n">
        <f aca="false">E8/$E$8</f>
        <v>1</v>
      </c>
      <c r="J8" s="41"/>
      <c r="K8" s="41"/>
      <c r="L8" s="41"/>
      <c r="M8" s="2"/>
    </row>
    <row r="9" customFormat="false" ht="19.5" hidden="false" customHeight="true" outlineLevel="0" collapsed="false">
      <c r="A9" s="2"/>
      <c r="B9" s="11" t="s">
        <v>193</v>
      </c>
      <c r="C9" s="47"/>
      <c r="D9" s="47"/>
      <c r="E9" s="64" t="n">
        <f aca="false">'ImpactLens Pricing'!F31/'ImpactLens Pricing'!$D$8</f>
        <v>208.171125221193</v>
      </c>
      <c r="F9" s="47"/>
      <c r="G9" s="47"/>
      <c r="H9" s="65" t="n">
        <f aca="false">'ImpactLens Pricing'!F31</f>
        <v>19999</v>
      </c>
      <c r="I9" s="66" t="n">
        <f aca="false">E9/$E$8</f>
        <v>2.50018752344043</v>
      </c>
      <c r="J9" s="41"/>
      <c r="K9" s="41"/>
      <c r="L9" s="41"/>
      <c r="M9" s="2"/>
    </row>
    <row r="10" customFormat="false" ht="13.5" hidden="false" customHeight="true" outlineLevel="0" collapsed="false">
      <c r="A10" s="2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2"/>
    </row>
    <row r="11" customFormat="false" ht="30" hidden="false" customHeight="true" outlineLevel="0" collapsed="false">
      <c r="A11" s="2"/>
      <c r="B11" s="6" t="s">
        <v>194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2"/>
    </row>
    <row r="12" customFormat="false" ht="33.75" hidden="false" customHeight="true" outlineLevel="0" collapsed="false">
      <c r="A12" s="2"/>
      <c r="B12" s="13" t="s">
        <v>195</v>
      </c>
      <c r="C12" s="14" t="s">
        <v>196</v>
      </c>
      <c r="D12" s="14" t="s">
        <v>197</v>
      </c>
      <c r="E12" s="14" t="s">
        <v>188</v>
      </c>
      <c r="F12" s="14" t="s">
        <v>198</v>
      </c>
      <c r="G12" s="14" t="s">
        <v>199</v>
      </c>
      <c r="H12" s="14" t="s">
        <v>189</v>
      </c>
      <c r="I12" s="14" t="s">
        <v>190</v>
      </c>
      <c r="J12" s="14" t="s">
        <v>200</v>
      </c>
      <c r="K12" s="14" t="s">
        <v>201</v>
      </c>
      <c r="L12" s="14" t="s">
        <v>202</v>
      </c>
      <c r="M12" s="2"/>
    </row>
    <row r="13" customFormat="false" ht="33" hidden="false" customHeight="true" outlineLevel="0" collapsed="false">
      <c r="A13" s="2"/>
      <c r="B13" s="7" t="s">
        <v>203</v>
      </c>
      <c r="C13" s="25" t="s">
        <v>204</v>
      </c>
      <c r="D13" s="45" t="s">
        <v>205</v>
      </c>
      <c r="E13" s="49" t="n">
        <v>9</v>
      </c>
      <c r="F13" s="45" t="s">
        <v>206</v>
      </c>
      <c r="G13" s="45" t="s">
        <v>207</v>
      </c>
      <c r="H13" s="17" t="n">
        <f aca="false">E13*'ImpactLens Pricing'!$D$8</f>
        <v>864.63</v>
      </c>
      <c r="I13" s="63" t="n">
        <f aca="false">E13/$E$8</f>
        <v>0.108092261532692</v>
      </c>
      <c r="J13" s="45" t="s">
        <v>208</v>
      </c>
      <c r="K13" s="25" t="s">
        <v>209</v>
      </c>
      <c r="L13" s="25" t="s">
        <v>38</v>
      </c>
      <c r="M13" s="2"/>
    </row>
    <row r="14" customFormat="false" ht="19.5" hidden="false" customHeight="true" outlineLevel="0" collapsed="false">
      <c r="A14" s="2"/>
      <c r="B14" s="7" t="s">
        <v>210</v>
      </c>
      <c r="C14" s="25" t="s">
        <v>204</v>
      </c>
      <c r="D14" s="45" t="s">
        <v>211</v>
      </c>
      <c r="E14" s="49" t="n">
        <v>19</v>
      </c>
      <c r="F14" s="45" t="s">
        <v>206</v>
      </c>
      <c r="G14" s="67"/>
      <c r="H14" s="17" t="n">
        <f aca="false">E14*'ImpactLens Pricing'!$D$8</f>
        <v>1825.33</v>
      </c>
      <c r="I14" s="63" t="n">
        <f aca="false">E14/$E$8</f>
        <v>0.228194774346793</v>
      </c>
      <c r="J14" s="45" t="s">
        <v>208</v>
      </c>
      <c r="K14" s="25" t="s">
        <v>209</v>
      </c>
      <c r="L14" s="25" t="s">
        <v>38</v>
      </c>
      <c r="M14" s="2"/>
    </row>
    <row r="15" customFormat="false" ht="33" hidden="false" customHeight="true" outlineLevel="0" collapsed="false">
      <c r="A15" s="2"/>
      <c r="B15" s="7" t="s">
        <v>212</v>
      </c>
      <c r="C15" s="25" t="s">
        <v>213</v>
      </c>
      <c r="D15" s="45" t="s">
        <v>214</v>
      </c>
      <c r="E15" s="49" t="n">
        <v>25</v>
      </c>
      <c r="F15" s="45" t="s">
        <v>206</v>
      </c>
      <c r="G15" s="45" t="s">
        <v>215</v>
      </c>
      <c r="H15" s="17" t="n">
        <f aca="false">E15*'ImpactLens Pricing'!$D$8</f>
        <v>2401.75</v>
      </c>
      <c r="I15" s="63" t="n">
        <f aca="false">E15/$E$8</f>
        <v>0.300256282035254</v>
      </c>
      <c r="J15" s="45" t="s">
        <v>216</v>
      </c>
      <c r="K15" s="25" t="s">
        <v>209</v>
      </c>
      <c r="L15" s="25" t="s">
        <v>38</v>
      </c>
      <c r="M15" s="2"/>
    </row>
    <row r="16" customFormat="false" ht="19.5" hidden="false" customHeight="true" outlineLevel="0" collapsed="false">
      <c r="A16" s="2"/>
      <c r="B16" s="7" t="s">
        <v>217</v>
      </c>
      <c r="C16" s="25" t="s">
        <v>204</v>
      </c>
      <c r="D16" s="45" t="s">
        <v>218</v>
      </c>
      <c r="E16" s="49" t="n">
        <v>49</v>
      </c>
      <c r="F16" s="45" t="s">
        <v>206</v>
      </c>
      <c r="G16" s="67"/>
      <c r="H16" s="17" t="n">
        <f aca="false">E16*'ImpactLens Pricing'!$D$8</f>
        <v>4707.43</v>
      </c>
      <c r="I16" s="63" t="n">
        <f aca="false">E16/$E$8</f>
        <v>0.588502312789099</v>
      </c>
      <c r="J16" s="45" t="s">
        <v>208</v>
      </c>
      <c r="K16" s="25" t="s">
        <v>209</v>
      </c>
      <c r="L16" s="25" t="s">
        <v>38</v>
      </c>
      <c r="M16" s="2"/>
    </row>
    <row r="17" customFormat="false" ht="33" hidden="false" customHeight="true" outlineLevel="0" collapsed="false">
      <c r="A17" s="2"/>
      <c r="B17" s="7" t="s">
        <v>219</v>
      </c>
      <c r="C17" s="25" t="s">
        <v>220</v>
      </c>
      <c r="D17" s="45" t="s">
        <v>221</v>
      </c>
      <c r="E17" s="49" t="n">
        <v>100</v>
      </c>
      <c r="F17" s="45" t="s">
        <v>206</v>
      </c>
      <c r="G17" s="67"/>
      <c r="H17" s="17" t="n">
        <f aca="false">E17*'ImpactLens Pricing'!$D$8</f>
        <v>9607</v>
      </c>
      <c r="I17" s="63" t="n">
        <f aca="false">E17/$E$8</f>
        <v>1.20102512814102</v>
      </c>
      <c r="J17" s="45" t="s">
        <v>222</v>
      </c>
      <c r="K17" s="25" t="s">
        <v>209</v>
      </c>
      <c r="L17" s="25" t="s">
        <v>38</v>
      </c>
      <c r="M17" s="2"/>
    </row>
    <row r="18" customFormat="false" ht="33" hidden="false" customHeight="true" outlineLevel="0" collapsed="false">
      <c r="A18" s="2"/>
      <c r="B18" s="7" t="s">
        <v>223</v>
      </c>
      <c r="C18" s="25" t="s">
        <v>220</v>
      </c>
      <c r="D18" s="45" t="s">
        <v>224</v>
      </c>
      <c r="E18" s="27" t="n">
        <f aca="false">43*5</f>
        <v>215</v>
      </c>
      <c r="F18" s="45" t="s">
        <v>225</v>
      </c>
      <c r="G18" s="45" t="s">
        <v>226</v>
      </c>
      <c r="H18" s="17" t="n">
        <f aca="false">E18*'ImpactLens Pricing'!$D$8</f>
        <v>20655.05</v>
      </c>
      <c r="I18" s="63" t="n">
        <f aca="false">E18/$E$8</f>
        <v>2.58220402550319</v>
      </c>
      <c r="J18" s="45" t="s">
        <v>227</v>
      </c>
      <c r="K18" s="25" t="s">
        <v>209</v>
      </c>
      <c r="L18" s="25" t="s">
        <v>38</v>
      </c>
      <c r="M18" s="2"/>
    </row>
    <row r="19" customFormat="false" ht="33" hidden="false" customHeight="true" outlineLevel="0" collapsed="false">
      <c r="A19" s="2"/>
      <c r="B19" s="7" t="s">
        <v>228</v>
      </c>
      <c r="C19" s="25" t="s">
        <v>220</v>
      </c>
      <c r="D19" s="45" t="s">
        <v>229</v>
      </c>
      <c r="E19" s="27" t="n">
        <f aca="false">55*5</f>
        <v>275</v>
      </c>
      <c r="F19" s="45" t="s">
        <v>230</v>
      </c>
      <c r="G19" s="45" t="s">
        <v>226</v>
      </c>
      <c r="H19" s="17" t="n">
        <f aca="false">E19*'ImpactLens Pricing'!$D$8</f>
        <v>26419.25</v>
      </c>
      <c r="I19" s="63" t="n">
        <f aca="false">E19/$E$8</f>
        <v>3.3028191023878</v>
      </c>
      <c r="J19" s="45" t="s">
        <v>227</v>
      </c>
      <c r="K19" s="25" t="s">
        <v>209</v>
      </c>
      <c r="L19" s="25" t="s">
        <v>38</v>
      </c>
      <c r="M19" s="2"/>
    </row>
    <row r="20" customFormat="false" ht="33" hidden="false" customHeight="true" outlineLevel="0" collapsed="false">
      <c r="A20" s="2"/>
      <c r="B20" s="7" t="s">
        <v>231</v>
      </c>
      <c r="C20" s="25" t="s">
        <v>204</v>
      </c>
      <c r="D20" s="45" t="s">
        <v>232</v>
      </c>
      <c r="E20" s="49" t="n">
        <v>299</v>
      </c>
      <c r="F20" s="45" t="s">
        <v>233</v>
      </c>
      <c r="G20" s="45" t="s">
        <v>234</v>
      </c>
      <c r="H20" s="17" t="n">
        <f aca="false">E20*'ImpactLens Pricing'!$D$8</f>
        <v>28724.93</v>
      </c>
      <c r="I20" s="63" t="n">
        <f aca="false">E20/$E$8</f>
        <v>3.59106513314164</v>
      </c>
      <c r="J20" s="45" t="s">
        <v>235</v>
      </c>
      <c r="K20" s="25" t="s">
        <v>209</v>
      </c>
      <c r="L20" s="25" t="s">
        <v>38</v>
      </c>
      <c r="M20" s="2"/>
    </row>
    <row r="21" customFormat="false" ht="33" hidden="false" customHeight="true" outlineLevel="0" collapsed="false">
      <c r="A21" s="2"/>
      <c r="B21" s="7" t="s">
        <v>236</v>
      </c>
      <c r="C21" s="25" t="s">
        <v>220</v>
      </c>
      <c r="D21" s="45" t="s">
        <v>237</v>
      </c>
      <c r="E21" s="49" t="n">
        <v>500</v>
      </c>
      <c r="F21" s="45" t="s">
        <v>206</v>
      </c>
      <c r="G21" s="67"/>
      <c r="H21" s="17" t="n">
        <f aca="false">E21*'ImpactLens Pricing'!$D$8</f>
        <v>48035</v>
      </c>
      <c r="I21" s="63" t="n">
        <f aca="false">E21/$E$8</f>
        <v>6.00512564070509</v>
      </c>
      <c r="J21" s="45" t="s">
        <v>222</v>
      </c>
      <c r="K21" s="25" t="s">
        <v>209</v>
      </c>
      <c r="L21" s="25" t="s">
        <v>38</v>
      </c>
      <c r="M21" s="2"/>
    </row>
    <row r="22" customFormat="false" ht="33" hidden="false" customHeight="true" outlineLevel="0" collapsed="false">
      <c r="A22" s="2"/>
      <c r="B22" s="7" t="s">
        <v>238</v>
      </c>
      <c r="C22" s="25" t="s">
        <v>204</v>
      </c>
      <c r="D22" s="45" t="s">
        <v>239</v>
      </c>
      <c r="E22" s="49" t="n">
        <v>799</v>
      </c>
      <c r="F22" s="45" t="s">
        <v>233</v>
      </c>
      <c r="G22" s="45" t="s">
        <v>240</v>
      </c>
      <c r="H22" s="17" t="n">
        <f aca="false">E22*'ImpactLens Pricing'!$D$8</f>
        <v>76759.93</v>
      </c>
      <c r="I22" s="63" t="n">
        <f aca="false">E22/$E$8</f>
        <v>9.59619077384673</v>
      </c>
      <c r="J22" s="45" t="s">
        <v>235</v>
      </c>
      <c r="K22" s="25" t="s">
        <v>209</v>
      </c>
      <c r="L22" s="25" t="s">
        <v>38</v>
      </c>
      <c r="M22" s="2"/>
    </row>
    <row r="23" customFormat="false" ht="33" hidden="false" customHeight="true" outlineLevel="0" collapsed="false">
      <c r="A23" s="2"/>
      <c r="B23" s="7" t="s">
        <v>241</v>
      </c>
      <c r="C23" s="25" t="s">
        <v>220</v>
      </c>
      <c r="D23" s="45" t="s">
        <v>242</v>
      </c>
      <c r="E23" s="49" t="n">
        <v>1000</v>
      </c>
      <c r="F23" s="45" t="s">
        <v>206</v>
      </c>
      <c r="G23" s="67"/>
      <c r="H23" s="17" t="n">
        <f aca="false">E23*'ImpactLens Pricing'!$D$8</f>
        <v>96070</v>
      </c>
      <c r="I23" s="63" t="n">
        <f aca="false">E23/$E$8</f>
        <v>12.0102512814102</v>
      </c>
      <c r="J23" s="45" t="s">
        <v>222</v>
      </c>
      <c r="K23" s="25" t="s">
        <v>209</v>
      </c>
      <c r="L23" s="25" t="s">
        <v>38</v>
      </c>
      <c r="M23" s="2"/>
    </row>
    <row r="24" customFormat="false" ht="33" hidden="false" customHeight="true" outlineLevel="0" collapsed="false">
      <c r="A24" s="2"/>
      <c r="B24" s="7" t="s">
        <v>243</v>
      </c>
      <c r="C24" s="25" t="s">
        <v>244</v>
      </c>
      <c r="D24" s="45" t="s">
        <v>245</v>
      </c>
      <c r="E24" s="27" t="n">
        <f aca="false">28000/12</f>
        <v>2333.33333333333</v>
      </c>
      <c r="F24" s="45" t="s">
        <v>246</v>
      </c>
      <c r="G24" s="45" t="s">
        <v>247</v>
      </c>
      <c r="H24" s="17" t="n">
        <f aca="false">E24*'ImpactLens Pricing'!$D$8</f>
        <v>224163.333333333</v>
      </c>
      <c r="I24" s="63" t="n">
        <f aca="false">E24/$E$8</f>
        <v>28.0239196566237</v>
      </c>
      <c r="J24" s="45" t="s">
        <v>248</v>
      </c>
      <c r="K24" s="25" t="s">
        <v>209</v>
      </c>
      <c r="L24" s="25" t="s">
        <v>38</v>
      </c>
      <c r="M24" s="2"/>
    </row>
    <row r="25" customFormat="false" ht="33" hidden="false" customHeight="true" outlineLevel="0" collapsed="false">
      <c r="A25" s="2"/>
      <c r="B25" s="7" t="s">
        <v>249</v>
      </c>
      <c r="C25" s="25" t="s">
        <v>220</v>
      </c>
      <c r="D25" s="45" t="s">
        <v>250</v>
      </c>
      <c r="E25" s="49" t="n">
        <v>4000</v>
      </c>
      <c r="F25" s="45" t="s">
        <v>251</v>
      </c>
      <c r="G25" s="67"/>
      <c r="H25" s="17" t="n">
        <f aca="false">E25*'ImpactLens Pricing'!$D$8</f>
        <v>384280</v>
      </c>
      <c r="I25" s="63" t="n">
        <f aca="false">E25/$E$8</f>
        <v>48.0410051256407</v>
      </c>
      <c r="J25" s="45" t="s">
        <v>222</v>
      </c>
      <c r="K25" s="25" t="s">
        <v>209</v>
      </c>
      <c r="L25" s="25" t="s">
        <v>38</v>
      </c>
      <c r="M25" s="2"/>
    </row>
    <row r="26" customFormat="false" ht="19.5" hidden="false" customHeight="true" outlineLevel="0" collapsed="false">
      <c r="A26" s="2"/>
      <c r="B26" s="7" t="s">
        <v>252</v>
      </c>
      <c r="C26" s="25" t="s">
        <v>244</v>
      </c>
      <c r="D26" s="45" t="s">
        <v>253</v>
      </c>
      <c r="E26" s="27" t="n">
        <f aca="false">49000/12</f>
        <v>4083.33333333333</v>
      </c>
      <c r="F26" s="45" t="s">
        <v>254</v>
      </c>
      <c r="G26" s="45" t="s">
        <v>255</v>
      </c>
      <c r="H26" s="17" t="n">
        <f aca="false">E26*'ImpactLens Pricing'!$D$8</f>
        <v>392285.833333333</v>
      </c>
      <c r="I26" s="63" t="n">
        <f aca="false">E26/$E$8</f>
        <v>49.0418593990916</v>
      </c>
      <c r="J26" s="45" t="s">
        <v>248</v>
      </c>
      <c r="K26" s="25" t="s">
        <v>209</v>
      </c>
      <c r="L26" s="25" t="s">
        <v>38</v>
      </c>
      <c r="M26" s="2"/>
    </row>
    <row r="27" customFormat="false" ht="19.5" hidden="false" customHeight="true" outlineLevel="0" collapsed="false">
      <c r="A27" s="2"/>
      <c r="B27" s="11" t="s">
        <v>256</v>
      </c>
      <c r="C27" s="39" t="s">
        <v>244</v>
      </c>
      <c r="D27" s="48" t="s">
        <v>253</v>
      </c>
      <c r="E27" s="37" t="n">
        <f aca="false">70000/12</f>
        <v>5833.33333333333</v>
      </c>
      <c r="F27" s="48" t="s">
        <v>257</v>
      </c>
      <c r="G27" s="48" t="s">
        <v>258</v>
      </c>
      <c r="H27" s="65" t="n">
        <f aca="false">E27*'ImpactLens Pricing'!$D$8</f>
        <v>560408.333333333</v>
      </c>
      <c r="I27" s="66" t="n">
        <f aca="false">E27/$E$8</f>
        <v>70.0597991415594</v>
      </c>
      <c r="J27" s="48" t="s">
        <v>248</v>
      </c>
      <c r="K27" s="39" t="s">
        <v>209</v>
      </c>
      <c r="L27" s="39" t="s">
        <v>38</v>
      </c>
      <c r="M27" s="2"/>
    </row>
    <row r="28" customFormat="false" ht="13.5" hidden="false" customHeight="true" outlineLevel="0" collapsed="false">
      <c r="A28" s="2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2"/>
    </row>
    <row r="29" customFormat="false" ht="30" hidden="false" customHeight="true" outlineLevel="0" collapsed="false">
      <c r="A29" s="2"/>
      <c r="B29" s="6" t="s">
        <v>259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"/>
    </row>
    <row r="30" customFormat="false" ht="19.5" hidden="false" customHeight="true" outlineLevel="0" collapsed="false">
      <c r="A30" s="2"/>
      <c r="B30" s="68" t="s">
        <v>260</v>
      </c>
      <c r="C30" s="68"/>
      <c r="D30" s="68"/>
      <c r="E30" s="27" t="n">
        <f aca="false">MIN(E13:E27)</f>
        <v>9</v>
      </c>
      <c r="F30" s="44"/>
      <c r="G30" s="41"/>
      <c r="H30" s="41"/>
      <c r="I30" s="41"/>
      <c r="J30" s="41"/>
      <c r="K30" s="41"/>
      <c r="L30" s="41"/>
      <c r="M30" s="2"/>
    </row>
    <row r="31" customFormat="false" ht="19.5" hidden="false" customHeight="true" outlineLevel="0" collapsed="false">
      <c r="A31" s="2"/>
      <c r="B31" s="68" t="s">
        <v>261</v>
      </c>
      <c r="C31" s="68"/>
      <c r="D31" s="68"/>
      <c r="E31" s="27" t="n">
        <f aca="false">MEDIAN(E13:E27)</f>
        <v>299</v>
      </c>
      <c r="F31" s="44"/>
      <c r="G31" s="41"/>
      <c r="H31" s="41"/>
      <c r="I31" s="41"/>
      <c r="J31" s="41"/>
      <c r="K31" s="41"/>
      <c r="L31" s="41"/>
      <c r="M31" s="2"/>
    </row>
    <row r="32" customFormat="false" ht="19.5" hidden="false" customHeight="true" outlineLevel="0" collapsed="false">
      <c r="A32" s="2"/>
      <c r="B32" s="68" t="s">
        <v>262</v>
      </c>
      <c r="C32" s="68"/>
      <c r="D32" s="68"/>
      <c r="E32" s="27" t="n">
        <f aca="false">MAX(E13:E27)</f>
        <v>5833.33333333333</v>
      </c>
      <c r="F32" s="44"/>
      <c r="G32" s="41"/>
      <c r="H32" s="41"/>
      <c r="I32" s="41"/>
      <c r="J32" s="41"/>
      <c r="K32" s="41"/>
      <c r="L32" s="41"/>
      <c r="M32" s="2"/>
    </row>
    <row r="33" customFormat="false" ht="45.75" hidden="false" customHeight="true" outlineLevel="0" collapsed="false">
      <c r="A33" s="2"/>
      <c r="B33" s="68" t="s">
        <v>263</v>
      </c>
      <c r="C33" s="68"/>
      <c r="D33" s="68"/>
      <c r="E33" s="69" t="n">
        <f aca="false">COUNTIF(E13:E27,"&lt;"&amp;E7)</f>
        <v>3</v>
      </c>
      <c r="F33" s="45" t="s">
        <v>264</v>
      </c>
      <c r="G33" s="41"/>
      <c r="H33" s="41"/>
      <c r="I33" s="41"/>
      <c r="J33" s="41"/>
      <c r="K33" s="41"/>
      <c r="L33" s="41"/>
      <c r="M33" s="2"/>
    </row>
    <row r="34" customFormat="false" ht="33" hidden="false" customHeight="true" outlineLevel="0" collapsed="false">
      <c r="A34" s="2"/>
      <c r="B34" s="70" t="s">
        <v>265</v>
      </c>
      <c r="C34" s="70"/>
      <c r="D34" s="70"/>
      <c r="E34" s="71" t="n">
        <f aca="false">COUNTIF(E13:E27,"&gt;"&amp;E9)</f>
        <v>10</v>
      </c>
      <c r="F34" s="48" t="s">
        <v>266</v>
      </c>
      <c r="G34" s="41"/>
      <c r="H34" s="41"/>
      <c r="I34" s="41"/>
      <c r="J34" s="41"/>
      <c r="K34" s="41"/>
      <c r="L34" s="41"/>
      <c r="M34" s="2"/>
    </row>
    <row r="35" customFormat="false" ht="13.5" hidden="false" customHeight="true" outlineLevel="0" collapsed="false">
      <c r="A35" s="2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2"/>
    </row>
    <row r="36" customFormat="false" ht="30" hidden="false" customHeight="true" outlineLevel="0" collapsed="false">
      <c r="A36" s="2"/>
      <c r="B36" s="6" t="s">
        <v>267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2"/>
    </row>
    <row r="37" customFormat="false" ht="25.5" hidden="false" customHeight="true" outlineLevel="0" collapsed="false">
      <c r="A37" s="2"/>
      <c r="B37" s="13" t="s">
        <v>268</v>
      </c>
      <c r="C37" s="42"/>
      <c r="D37" s="14" t="s">
        <v>269</v>
      </c>
      <c r="E37" s="14"/>
      <c r="F37" s="14"/>
      <c r="G37" s="14" t="s">
        <v>270</v>
      </c>
      <c r="H37" s="14"/>
      <c r="I37" s="14"/>
      <c r="J37" s="14"/>
      <c r="K37" s="14"/>
      <c r="L37" s="14"/>
      <c r="M37" s="2"/>
    </row>
    <row r="38" customFormat="false" ht="19.5" hidden="false" customHeight="true" outlineLevel="0" collapsed="false">
      <c r="A38" s="2"/>
      <c r="B38" s="7" t="s">
        <v>271</v>
      </c>
      <c r="C38" s="44"/>
      <c r="D38" s="72" t="s">
        <v>272</v>
      </c>
      <c r="E38" s="72"/>
      <c r="F38" s="72"/>
      <c r="G38" s="72" t="s">
        <v>273</v>
      </c>
      <c r="H38" s="72"/>
      <c r="I38" s="72"/>
      <c r="J38" s="72"/>
      <c r="K38" s="72"/>
      <c r="L38" s="72"/>
      <c r="M38" s="2"/>
    </row>
    <row r="39" customFormat="false" ht="19.5" hidden="false" customHeight="true" outlineLevel="0" collapsed="false">
      <c r="A39" s="2"/>
      <c r="B39" s="7" t="s">
        <v>274</v>
      </c>
      <c r="C39" s="44"/>
      <c r="D39" s="72" t="s">
        <v>275</v>
      </c>
      <c r="E39" s="72"/>
      <c r="F39" s="72"/>
      <c r="G39" s="72" t="s">
        <v>276</v>
      </c>
      <c r="H39" s="72"/>
      <c r="I39" s="72"/>
      <c r="J39" s="72"/>
      <c r="K39" s="72"/>
      <c r="L39" s="72"/>
      <c r="M39" s="2"/>
    </row>
    <row r="40" customFormat="false" ht="19.5" hidden="false" customHeight="true" outlineLevel="0" collapsed="false">
      <c r="A40" s="2"/>
      <c r="B40" s="7" t="s">
        <v>277</v>
      </c>
      <c r="C40" s="44"/>
      <c r="D40" s="72" t="s">
        <v>278</v>
      </c>
      <c r="E40" s="72"/>
      <c r="F40" s="72"/>
      <c r="G40" s="72" t="s">
        <v>279</v>
      </c>
      <c r="H40" s="72"/>
      <c r="I40" s="72"/>
      <c r="J40" s="72"/>
      <c r="K40" s="72"/>
      <c r="L40" s="72"/>
      <c r="M40" s="2"/>
    </row>
    <row r="41" customFormat="false" ht="19.5" hidden="false" customHeight="true" outlineLevel="0" collapsed="false">
      <c r="A41" s="2"/>
      <c r="B41" s="7" t="s">
        <v>280</v>
      </c>
      <c r="C41" s="44"/>
      <c r="D41" s="72" t="s">
        <v>281</v>
      </c>
      <c r="E41" s="72"/>
      <c r="F41" s="72"/>
      <c r="G41" s="72" t="s">
        <v>282</v>
      </c>
      <c r="H41" s="72"/>
      <c r="I41" s="72"/>
      <c r="J41" s="72"/>
      <c r="K41" s="72"/>
      <c r="L41" s="72"/>
      <c r="M41" s="2"/>
    </row>
    <row r="42" customFormat="false" ht="33" hidden="false" customHeight="true" outlineLevel="0" collapsed="false">
      <c r="A42" s="2"/>
      <c r="B42" s="7" t="s">
        <v>283</v>
      </c>
      <c r="C42" s="44"/>
      <c r="D42" s="72" t="s">
        <v>284</v>
      </c>
      <c r="E42" s="72"/>
      <c r="F42" s="72"/>
      <c r="G42" s="72" t="s">
        <v>285</v>
      </c>
      <c r="H42" s="72"/>
      <c r="I42" s="72"/>
      <c r="J42" s="72"/>
      <c r="K42" s="72"/>
      <c r="L42" s="72"/>
      <c r="M42" s="2"/>
    </row>
    <row r="43" customFormat="false" ht="33" hidden="false" customHeight="true" outlineLevel="0" collapsed="false">
      <c r="A43" s="2"/>
      <c r="B43" s="7" t="s">
        <v>286</v>
      </c>
      <c r="C43" s="44"/>
      <c r="D43" s="72" t="s">
        <v>287</v>
      </c>
      <c r="E43" s="72"/>
      <c r="F43" s="72"/>
      <c r="G43" s="72" t="s">
        <v>288</v>
      </c>
      <c r="H43" s="72"/>
      <c r="I43" s="72"/>
      <c r="J43" s="72"/>
      <c r="K43" s="72"/>
      <c r="L43" s="72"/>
      <c r="M43" s="2"/>
    </row>
    <row r="44" customFormat="false" ht="19.5" hidden="false" customHeight="true" outlineLevel="0" collapsed="false">
      <c r="A44" s="2"/>
      <c r="B44" s="11" t="s">
        <v>289</v>
      </c>
      <c r="C44" s="47"/>
      <c r="D44" s="73" t="s">
        <v>290</v>
      </c>
      <c r="E44" s="73"/>
      <c r="F44" s="73"/>
      <c r="G44" s="73" t="s">
        <v>291</v>
      </c>
      <c r="H44" s="73"/>
      <c r="I44" s="73"/>
      <c r="J44" s="73"/>
      <c r="K44" s="73"/>
      <c r="L44" s="73"/>
      <c r="M44" s="2"/>
    </row>
    <row r="45" customFormat="false" ht="18" hidden="false" customHeight="true" outlineLevel="0" collapsed="false"/>
  </sheetData>
  <mergeCells count="27">
    <mergeCell ref="B2:L2"/>
    <mergeCell ref="B3:L3"/>
    <mergeCell ref="B5:L5"/>
    <mergeCell ref="B11:L11"/>
    <mergeCell ref="B29:L29"/>
    <mergeCell ref="B30:D30"/>
    <mergeCell ref="B31:D31"/>
    <mergeCell ref="B32:D32"/>
    <mergeCell ref="B33:D33"/>
    <mergeCell ref="B34:D34"/>
    <mergeCell ref="B36:L36"/>
    <mergeCell ref="D37:F37"/>
    <mergeCell ref="G37:L37"/>
    <mergeCell ref="D38:F38"/>
    <mergeCell ref="G38:L38"/>
    <mergeCell ref="D39:F39"/>
    <mergeCell ref="G39:L39"/>
    <mergeCell ref="D40:F40"/>
    <mergeCell ref="G40:L40"/>
    <mergeCell ref="D41:F41"/>
    <mergeCell ref="G41:L41"/>
    <mergeCell ref="D42:F42"/>
    <mergeCell ref="G42:L42"/>
    <mergeCell ref="D43:F43"/>
    <mergeCell ref="G43:L43"/>
    <mergeCell ref="D44:F44"/>
    <mergeCell ref="G44:L44"/>
  </mergeCells>
  <printOptions headings="false" gridLines="false" gridLinesSet="true" horizontalCentered="true" verticalCentered="false"/>
  <pageMargins left="0.4" right="0.4" top="0.55" bottom="0.55" header="0.25" footer="0.25"/>
  <pageSetup paperSize="9" scale="58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&amp;L&amp;8 &amp;K808080ImpactLens · Pricing Model</oddHeader>
    <oddFooter>&amp;L&amp;8 &amp;K808080&amp;A&amp;R&amp;8 &amp;K808080Page &amp;P of &amp;N</oddFooter>
  </headerFooter>
  <rowBreaks count="2" manualBreakCount="2">
    <brk id="10" man="true" max="16383" min="0"/>
    <brk id="28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2026-09-29T09:59:41Z</dcterms:created>
  <dc:creator>openpyxl</dc:creator>
  <dc:description/>
  <dc:language>en-IN</dc:language>
  <cp:lastModifiedBy/>
  <dcterms:modified xsi:type="dcterms:W3CDTF">2026-09-29T17:42:31Z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