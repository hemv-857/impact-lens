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Lens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\₹#,##0;&quot;(₹&quot;#,##0\);\-"/>
    <numFmt numFmtId="165" formatCode="0.0%"/>
    <numFmt numFmtId="166" formatCode="&quot;$&quot;#,##0"/>
  </numFmts>
  <fonts count="7">
    <font>
      <name val="Calibri"/>
      <family val="2"/>
      <color theme="1"/>
      <sz val="11"/>
      <scheme val="minor"/>
    </font>
    <font>
      <name val="Trebuchet MS"/>
      <b val="1"/>
      <color rgb="FFFFFFFF"/>
      <sz val="16"/>
    </font>
    <font>
      <name val="Trebuchet MS"/>
      <color rgb="FFFFFFFF"/>
      <sz val="10"/>
    </font>
    <font>
      <name val="Trebuchet MS"/>
      <b val="1"/>
      <color rgb="FFFFFFFF"/>
      <sz val="11"/>
    </font>
    <font>
      <name val="Trebuchet MS"/>
      <b val="1"/>
      <color rgb="FFFFFFFF"/>
      <sz val="10"/>
    </font>
    <font>
      <name val="Trebuchet MS"/>
      <color rgb="FFFFFFFF"/>
      <sz val="9"/>
    </font>
    <font>
      <name val="Trebuchet MS"/>
      <color rgb="FFFFFFFF"/>
      <sz val="8"/>
    </font>
  </fonts>
  <fills count="20">
    <fill>
      <patternFill/>
    </fill>
    <fill>
      <patternFill patternType="gray125"/>
    </fill>
    <fill>
      <patternFill patternType="solid">
        <fgColor rgb="FF060D28"/>
      </patternFill>
    </fill>
    <fill>
      <patternFill patternType="solid">
        <fgColor rgb="FF0D1B4B"/>
      </patternFill>
    </fill>
    <fill>
      <patternFill patternType="solid">
        <fgColor rgb="FF080F2A"/>
      </patternFill>
    </fill>
    <fill>
      <patternFill patternType="solid">
        <fgColor rgb="FF0A2060"/>
      </patternFill>
    </fill>
    <fill>
      <patternFill patternType="solid">
        <fgColor rgb="FF0A1540"/>
      </patternFill>
    </fill>
    <fill>
      <patternFill patternType="solid">
        <fgColor rgb="FF0D3B8C"/>
      </patternFill>
    </fill>
    <fill>
      <patternFill patternType="solid">
        <fgColor rgb="FF112255"/>
      </patternFill>
    </fill>
    <fill>
      <patternFill patternType="solid">
        <fgColor rgb="FF0D2050"/>
      </patternFill>
    </fill>
    <fill>
      <patternFill patternType="solid">
        <fgColor rgb="FF0D2A1A"/>
      </patternFill>
    </fill>
    <fill>
      <patternFill patternType="solid">
        <fgColor rgb="FF3D5AFE"/>
      </patternFill>
    </fill>
    <fill>
      <patternFill patternType="solid">
        <fgColor rgb="FF5C6BC0"/>
      </patternFill>
    </fill>
    <fill>
      <patternFill patternType="solid">
        <fgColor rgb="FF1565C0"/>
      </patternFill>
    </fill>
    <fill>
      <patternFill patternType="solid">
        <fgColor rgb="FF0D47A1"/>
      </patternFill>
    </fill>
    <fill>
      <patternFill patternType="solid">
        <fgColor rgb="FF37474F"/>
      </patternFill>
    </fill>
    <fill>
      <patternFill patternType="solid">
        <fgColor rgb="FF263238"/>
      </patternFill>
    </fill>
    <fill>
      <patternFill patternType="solid">
        <fgColor rgb="FF1E2A3A"/>
      </patternFill>
    </fill>
    <fill>
      <patternFill patternType="solid">
        <fgColor rgb="FF112266"/>
      </patternFill>
    </fill>
    <fill>
      <patternFill patternType="solid">
        <fgColor rgb="FF1A237E"/>
      </patternFill>
    </fill>
  </fills>
  <borders count="6">
    <border>
      <left/>
      <right/>
      <top/>
      <bottom/>
      <diagonal/>
    </border>
    <border>
      <left style="thin">
        <color rgb="FF1A2B6B"/>
      </left>
      <right style="thin">
        <color rgb="FF1A2B6B"/>
      </right>
      <top style="thin">
        <color rgb="FF1A2B6B"/>
      </top>
      <bottom style="thin">
        <color rgb="FF1A2B6B"/>
      </bottom>
    </border>
    <border>
      <left/>
      <right/>
      <top style="thin">
        <color rgb="FF1A2B6B"/>
      </top>
      <bottom/>
      <diagonal/>
    </border>
    <border>
      <left/>
      <right style="thin">
        <color rgb="FF1A2B6B"/>
      </right>
      <top style="thin">
        <color rgb="FF1A2B6B"/>
      </top>
      <bottom/>
      <diagonal/>
    </border>
    <border>
      <left/>
      <right style="thin">
        <color rgb="FF1A2B6B"/>
      </right>
      <top style="thin">
        <color rgb="FF1A2B6B"/>
      </top>
      <bottom style="thin">
        <color rgb="FF1A2B6B"/>
      </bottom>
      <diagonal/>
    </border>
    <border>
      <left/>
      <right/>
      <top style="thin">
        <color rgb="FF1A2B6B"/>
      </top>
      <bottom style="thin">
        <color rgb="FF1A2B6B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2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4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4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6" fontId="4" fillId="9" borderId="1" applyAlignment="1" pivotButton="0" quotePrefix="0" xfId="0">
      <alignment horizontal="center" vertical="center" wrapText="1"/>
    </xf>
    <xf numFmtId="164" fontId="4" fillId="1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64" fontId="4" fillId="10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164" fontId="4" fillId="13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4" fillId="14" borderId="1" applyAlignment="1" pivotButton="0" quotePrefix="0" xfId="0">
      <alignment horizontal="center" vertical="center" wrapText="1"/>
    </xf>
    <xf numFmtId="166" fontId="4" fillId="15" borderId="1" applyAlignment="1" pivotButton="0" quotePrefix="0" xfId="0">
      <alignment horizontal="center" vertical="center" wrapText="1"/>
    </xf>
    <xf numFmtId="164" fontId="4" fillId="16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0" fillId="18" borderId="1" pivotButton="0" quotePrefix="0" xfId="0"/>
    <xf numFmtId="0" fontId="4" fillId="19" borderId="1" applyAlignment="1" pivotButton="0" quotePrefix="0" xfId="0">
      <alignment horizontal="center" vertical="center" wrapText="1"/>
    </xf>
    <xf numFmtId="0" fontId="0" fillId="19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18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47A1"/>
    <outlinePr summaryBelow="1" summaryRight="1"/>
    <pageSetUpPr/>
  </sheetPr>
  <dimension ref="A2:K7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2.86" customWidth="1" min="3" max="3"/>
    <col width="20" customWidth="1" min="4" max="4"/>
    <col width="21.43" customWidth="1" min="5" max="5"/>
    <col width="28.43" customWidth="1" min="6" max="6"/>
    <col width="2" customWidth="1" min="7" max="7"/>
    <col width="20" customWidth="1" min="8" max="8"/>
    <col width="20" customWidth="1" min="9" max="9"/>
    <col width="28.29" customWidth="1" min="10" max="10"/>
    <col width="5" customWidth="1" min="11" max="11"/>
  </cols>
  <sheetData>
    <row r="2" ht="28" customHeight="1">
      <c r="A2" s="1" t="inlineStr">
        <is>
          <t>IMPACTLENS  ·  SUBSCRIPTION PRICING MODEL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8" customHeight="1">
      <c r="A3" s="3" t="inlineStr">
        <is>
          <t>AI-Powered Impact &amp; Sustainability Media Platform  ||  Field evidence → AI insight → donor-ready reports  ||  Phase 1 Pricing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22" customHeight="1">
      <c r="B5" s="4" t="inlineStr">
        <is>
          <t>MODEL ASSUMPTIONS</t>
        </is>
      </c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B6" s="6" t="inlineStr">
        <is>
          <t>Annual Billing Discount</t>
        </is>
      </c>
      <c r="C6" s="7" t="n"/>
      <c r="D6" s="8" t="inlineStr">
        <is>
          <t>17%</t>
        </is>
      </c>
      <c r="E6" s="9" t="n"/>
      <c r="F6" s="9" t="n"/>
      <c r="G6" s="9" t="n"/>
      <c r="H6" s="9" t="n"/>
      <c r="I6" s="9" t="n"/>
      <c r="J6" s="9" t="n"/>
    </row>
    <row r="7">
      <c r="B7" s="6" t="inlineStr">
        <is>
          <t>Primary Currency</t>
        </is>
      </c>
      <c r="C7" s="7" t="n"/>
      <c r="D7" s="8" t="inlineStr">
        <is>
          <t>INR (₹)   —   USD shown as an indicative conversion</t>
        </is>
      </c>
      <c r="E7" s="9" t="n"/>
      <c r="F7" s="9" t="n"/>
      <c r="G7" s="9" t="n"/>
      <c r="H7" s="9" t="n"/>
      <c r="I7" s="9" t="n"/>
      <c r="J7" s="9" t="n"/>
    </row>
    <row r="8">
      <c r="B8" s="6" t="inlineStr">
        <is>
          <t>USD → INR Rate (editable)</t>
        </is>
      </c>
      <c r="C8" s="7" t="n"/>
      <c r="D8" s="10" t="n">
        <v>96.06999999999999</v>
      </c>
      <c r="E8" s="9" t="n"/>
      <c r="F8" s="9" t="n"/>
      <c r="G8" s="9" t="n"/>
      <c r="H8" s="9" t="n"/>
      <c r="I8" s="9" t="n"/>
      <c r="J8" s="9" t="n"/>
    </row>
    <row r="9">
      <c r="B9" s="6" t="inlineStr">
        <is>
          <t>Billing Cycle Options</t>
        </is>
      </c>
      <c r="C9" s="7" t="n"/>
      <c r="D9" s="8" t="inlineStr">
        <is>
          <t>Monthly Billing   |   Annual Billing</t>
        </is>
      </c>
      <c r="E9" s="9" t="n"/>
      <c r="F9" s="9" t="n"/>
      <c r="G9" s="9" t="n"/>
      <c r="H9" s="9" t="n"/>
      <c r="I9" s="9" t="n"/>
      <c r="J9" s="9" t="n"/>
    </row>
    <row r="10">
      <c r="B10" s="6" t="inlineStr">
        <is>
          <t>Annual plan = discounted monthly charge</t>
        </is>
      </c>
      <c r="C10" s="7" t="n"/>
      <c r="D10" s="8" t="inlineStr">
        <is>
          <t>Prices shown are per-month when billed annually</t>
        </is>
      </c>
      <c r="E10" s="9" t="n"/>
      <c r="F10" s="9" t="n"/>
      <c r="G10" s="9" t="n"/>
      <c r="H10" s="9" t="n"/>
      <c r="I10" s="9" t="n"/>
      <c r="J10" s="9" t="n"/>
    </row>
    <row r="11">
      <c r="B11" s="6" t="inlineStr">
        <is>
          <t>Monthly plan price formula</t>
        </is>
      </c>
      <c r="C11" s="7" t="n"/>
      <c r="D11" s="8" t="inlineStr">
        <is>
          <t>Annual Price ÷ (1 − 17%)   =   Annual Price ÷ 0.83</t>
        </is>
      </c>
      <c r="E11" s="9" t="n"/>
      <c r="F11" s="9" t="n"/>
      <c r="G11" s="9" t="n"/>
      <c r="H11" s="9" t="n"/>
      <c r="I11" s="9" t="n"/>
      <c r="J11" s="9" t="n"/>
    </row>
    <row r="12">
      <c r="B12" s="6" t="inlineStr">
        <is>
          <t>Cloudinary cost basis</t>
        </is>
      </c>
      <c r="C12" s="7" t="n"/>
      <c r="D12" s="8" t="inlineStr">
        <is>
          <t>1 credit = 1,000 transformations | 1 GB storage | 1 GB image bandwidth   ·   Plus $89/mo (225 credits) ⇒ ~₹34 per credit</t>
        </is>
      </c>
      <c r="E12" s="9" t="n"/>
      <c r="F12" s="9" t="n"/>
      <c r="G12" s="9" t="n"/>
      <c r="H12" s="9" t="n"/>
      <c r="I12" s="9" t="n"/>
      <c r="J12" s="9" t="n"/>
    </row>
    <row r="13">
      <c r="B13" s="6" t="inlineStr">
        <is>
          <t>AI cost basis (assumption)</t>
        </is>
      </c>
      <c r="C13" s="7" t="n"/>
      <c r="D13" s="8" t="inlineStr">
        <is>
          <t>Vision analysis ≈ ₹0.90 / asset   ·   Impact report ≈ ₹1.00   ·   Semantic search ≈ ₹0.50</t>
        </is>
      </c>
      <c r="E13" s="9" t="n"/>
      <c r="F13" s="9" t="n"/>
      <c r="G13" s="9" t="n"/>
      <c r="H13" s="9" t="n"/>
      <c r="I13" s="9" t="n"/>
      <c r="J13" s="9" t="n"/>
    </row>
    <row r="14" ht="26" customHeight="1">
      <c r="B14" s="11" t="inlineStr">
        <is>
          <t>★  Blue cells are inputs: per-month charges billed annually (17% discount already applied) and the USD→INR rate in D8. Everything else is a formula.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6" ht="22" customHeight="1">
      <c r="A16" s="4" t="inlineStr">
        <is>
          <t>COST BASIS (COGS) PER ORG / MONTH   ·   CLOUDINARY + AI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30" customHeight="1">
      <c r="B17" s="13" t="inlineStr">
        <is>
          <t>COST LINE ITEM</t>
        </is>
      </c>
      <c r="C17" s="7" t="n"/>
      <c r="D17" s="14" t="inlineStr">
        <is>
          <t>STARTER
(Low)</t>
        </is>
      </c>
      <c r="E17" s="14" t="inlineStr">
        <is>
          <t>PRO
(Mid)</t>
        </is>
      </c>
      <c r="F17" s="14" t="inlineStr">
        <is>
          <t>ENTERPRISE
(High)</t>
        </is>
      </c>
      <c r="H17" s="15" t="inlineStr">
        <is>
          <t>Credits &amp; AI allowances set the tier's cost floor; prices below carry the margin.</t>
        </is>
      </c>
      <c r="I17" s="16" t="n"/>
      <c r="J17" s="16" t="n"/>
    </row>
    <row r="18">
      <c r="B18" s="6" t="inlineStr">
        <is>
          <t>Cloudinary credits included / mo</t>
        </is>
      </c>
      <c r="C18" s="7" t="n"/>
      <c r="D18" s="17" t="n">
        <v>10</v>
      </c>
      <c r="E18" s="17" t="n">
        <v>50</v>
      </c>
      <c r="F18" s="17" t="n">
        <v>150</v>
      </c>
    </row>
    <row r="19">
      <c r="B19" s="6" t="inlineStr">
        <is>
          <t>Cloudinary cost (credits × ₹34)</t>
        </is>
      </c>
      <c r="C19" s="7" t="n"/>
      <c r="D19" s="18">
        <f>D18*34</f>
        <v/>
      </c>
      <c r="E19" s="18">
        <f>E18*34</f>
        <v/>
      </c>
      <c r="F19" s="18">
        <f>F18*34</f>
        <v/>
      </c>
    </row>
    <row r="20">
      <c r="B20" s="6" t="inlineStr">
        <is>
          <t>AI vision analyses included / mo</t>
        </is>
      </c>
      <c r="C20" s="7" t="n"/>
      <c r="D20" s="17" t="n">
        <v>100</v>
      </c>
      <c r="E20" s="17" t="n">
        <v>1000</v>
      </c>
      <c r="F20" s="17" t="n">
        <v>5000</v>
      </c>
    </row>
    <row r="21">
      <c r="B21" s="6" t="inlineStr">
        <is>
          <t>AI analysis cost (× ₹0.90)</t>
        </is>
      </c>
      <c r="C21" s="7" t="n"/>
      <c r="D21" s="18">
        <f>D20*0.9</f>
        <v/>
      </c>
      <c r="E21" s="18">
        <f>E20*0.9</f>
        <v/>
      </c>
      <c r="F21" s="18">
        <f>F20*0.9</f>
        <v/>
      </c>
    </row>
    <row r="22">
      <c r="B22" s="6" t="inlineStr">
        <is>
          <t>Reports + semantic searches cost (₹)</t>
        </is>
      </c>
      <c r="C22" s="7" t="n"/>
      <c r="D22" s="18" t="n">
        <v>3</v>
      </c>
      <c r="E22" s="18" t="n">
        <v>180</v>
      </c>
      <c r="F22" s="18" t="n">
        <v>650</v>
      </c>
    </row>
    <row r="23">
      <c r="B23" s="6" t="inlineStr">
        <is>
          <t>Total estimated COGS (₹/mo)</t>
        </is>
      </c>
      <c r="C23" s="7" t="n"/>
      <c r="D23" s="18">
        <f>D19+D21+D22</f>
        <v/>
      </c>
      <c r="E23" s="18">
        <f>E19+E21+E22</f>
        <v/>
      </c>
      <c r="F23" s="18">
        <f>F19+F21+F22</f>
        <v/>
      </c>
    </row>
    <row r="24">
      <c r="B24" s="6" t="inlineStr">
        <is>
          <t>Price — annual plan (₹/mo)</t>
        </is>
      </c>
      <c r="C24" s="7" t="n"/>
      <c r="D24" s="18">
        <f>D31</f>
        <v/>
      </c>
      <c r="E24" s="18">
        <f>E31</f>
        <v/>
      </c>
      <c r="F24" s="18">
        <f>F31</f>
        <v/>
      </c>
    </row>
    <row r="25">
      <c r="B25" s="6" t="inlineStr">
        <is>
          <t>Gross margin (%)</t>
        </is>
      </c>
      <c r="C25" s="7" t="n"/>
      <c r="D25" s="19">
        <f>(D24-D23)/D24</f>
        <v/>
      </c>
      <c r="E25" s="19">
        <f>(E24-E23)/E24</f>
        <v/>
      </c>
      <c r="F25" s="19">
        <f>(F24-F23)/F24</f>
        <v/>
      </c>
    </row>
    <row r="27" ht="22" customHeight="1">
      <c r="A27" s="4" t="inlineStr">
        <is>
          <t>PRICING TIERS  ·  ANNUAL BILLING  vs  MONTHLY BILLING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20" customHeight="1">
      <c r="D28" s="20" t="inlineStr">
        <is>
          <t>◆  ANNUAL BILLING  (17% discount applied)</t>
        </is>
      </c>
      <c r="E28" s="21" t="n"/>
      <c r="F28" s="21" t="n"/>
      <c r="H28" s="22" t="inlineStr">
        <is>
          <t>◇  MONTHLY BILLING  (billed monthly, no discount)</t>
        </is>
      </c>
      <c r="I28" s="23" t="n"/>
      <c r="J28" s="23" t="n"/>
    </row>
    <row r="29" ht="32" customHeight="1">
      <c r="B29" s="13" t="inlineStr">
        <is>
          <t>METRIC / LINE ITEM</t>
        </is>
      </c>
      <c r="C29" s="7" t="n"/>
      <c r="D29" s="24" t="inlineStr">
        <is>
          <t>STARTER
(Low maturity)</t>
        </is>
      </c>
      <c r="E29" s="24" t="inlineStr">
        <is>
          <t>PRO
(Mid maturity)</t>
        </is>
      </c>
      <c r="F29" s="25" t="inlineStr">
        <is>
          <t>ENTERPRISE
(High maturity)</t>
        </is>
      </c>
      <c r="H29" s="26" t="inlineStr">
        <is>
          <t>STARTER
(Low maturity)</t>
        </is>
      </c>
      <c r="I29" s="26" t="inlineStr">
        <is>
          <t>PRO
(Mid maturity)</t>
        </is>
      </c>
      <c r="J29" s="27" t="inlineStr">
        <is>
          <t>ENTERPRISE
(High maturity)</t>
        </is>
      </c>
    </row>
    <row r="30">
      <c r="B30" s="6" t="inlineStr">
        <is>
          <t>Impact Evidence Maturity Level</t>
        </is>
      </c>
      <c r="C30" s="7" t="n"/>
      <c r="D30" s="17" t="inlineStr">
        <is>
          <t>Low</t>
        </is>
      </c>
      <c r="E30" s="17" t="inlineStr">
        <is>
          <t>Mid</t>
        </is>
      </c>
      <c r="F30" s="17" t="inlineStr">
        <is>
          <t>High</t>
        </is>
      </c>
      <c r="H30" s="28" t="inlineStr">
        <is>
          <t>Low</t>
        </is>
      </c>
      <c r="I30" s="28" t="inlineStr">
        <is>
          <t>Mid</t>
        </is>
      </c>
      <c r="J30" s="28" t="inlineStr">
        <is>
          <t>High</t>
        </is>
      </c>
    </row>
    <row r="31">
      <c r="B31" s="6" t="inlineStr">
        <is>
          <t>★ Per-Month Price — Annual Plan (₹)</t>
        </is>
      </c>
      <c r="C31" s="7" t="n"/>
      <c r="D31" s="29" t="n">
        <v>2999</v>
      </c>
      <c r="E31" s="29" t="n">
        <v>7999</v>
      </c>
      <c r="F31" s="29" t="n">
        <v>19999</v>
      </c>
      <c r="H31" s="28" t="inlineStr">
        <is>
          <t>N/A (see below)</t>
        </is>
      </c>
      <c r="I31" s="28" t="inlineStr">
        <is>
          <t>N/A (see below)</t>
        </is>
      </c>
      <c r="J31" s="28" t="inlineStr">
        <is>
          <t>N/A (see below)</t>
        </is>
      </c>
    </row>
    <row r="32">
      <c r="B32" s="6" t="inlineStr">
        <is>
          <t>Per-Month Price — Annual Plan (USD)</t>
        </is>
      </c>
      <c r="C32" s="7" t="n"/>
      <c r="D32" s="30">
        <f>ROUND(D31/$D$8,0)</f>
        <v/>
      </c>
      <c r="E32" s="30">
        <f>ROUND(E31/$D$8,0)</f>
        <v/>
      </c>
      <c r="F32" s="30">
        <f>ROUND(F31/$D$8,0)</f>
        <v/>
      </c>
      <c r="H32" s="28" t="inlineStr">
        <is>
          <t>N/A (see below)</t>
        </is>
      </c>
      <c r="I32" s="28" t="inlineStr">
        <is>
          <t>N/A (see below)</t>
        </is>
      </c>
      <c r="J32" s="28" t="inlineStr">
        <is>
          <t>N/A (see below)</t>
        </is>
      </c>
    </row>
    <row r="33">
      <c r="B33" s="6" t="inlineStr">
        <is>
          <t>Annual Discount Applied</t>
        </is>
      </c>
      <c r="C33" s="7" t="n"/>
      <c r="D33" s="17" t="inlineStr">
        <is>
          <t>17%</t>
        </is>
      </c>
      <c r="E33" s="17" t="inlineStr">
        <is>
          <t>17%</t>
        </is>
      </c>
      <c r="F33" s="17" t="inlineStr">
        <is>
          <t>17%</t>
        </is>
      </c>
      <c r="H33" s="28" t="inlineStr">
        <is>
          <t>None</t>
        </is>
      </c>
      <c r="I33" s="28" t="inlineStr">
        <is>
          <t>None</t>
        </is>
      </c>
      <c r="J33" s="28" t="inlineStr">
        <is>
          <t>None</t>
        </is>
      </c>
    </row>
    <row r="34">
      <c r="B34" s="6" t="inlineStr">
        <is>
          <t>Effective Monthly Charge (₹)</t>
        </is>
      </c>
      <c r="C34" s="7" t="n"/>
      <c r="D34" s="18">
        <f>D31</f>
        <v/>
      </c>
      <c r="E34" s="18">
        <f>E31</f>
        <v/>
      </c>
      <c r="F34" s="18">
        <f>F31</f>
        <v/>
      </c>
      <c r="H34" s="31">
        <f>ROUND(D31/(1-0.17),0)</f>
        <v/>
      </c>
      <c r="I34" s="31">
        <f>ROUND(E31/(1-0.17),0)</f>
        <v/>
      </c>
      <c r="J34" s="31">
        <f>ROUND(F31/(1-0.17),0)</f>
        <v/>
      </c>
    </row>
    <row r="35">
      <c r="B35" s="6" t="inlineStr">
        <is>
          <t>Total Amount Billed Per Year (₹)</t>
        </is>
      </c>
      <c r="C35" s="7" t="n"/>
      <c r="D35" s="18">
        <f>D31*12</f>
        <v/>
      </c>
      <c r="E35" s="18">
        <f>E31*12</f>
        <v/>
      </c>
      <c r="F35" s="18">
        <f>F31*12</f>
        <v/>
      </c>
      <c r="H35" s="31">
        <f>ROUND(D31/(1-0.17),0)*12</f>
        <v/>
      </c>
      <c r="I35" s="31">
        <f>ROUND(E31/(1-0.17),0)*12</f>
        <v/>
      </c>
      <c r="J35" s="31">
        <f>ROUND(F31/(1-0.17),0)*12</f>
        <v/>
      </c>
    </row>
    <row r="36">
      <c r="B36" s="32" t="inlineStr">
        <is>
          <t>── MONTHLY BILLING PLAN ──</t>
        </is>
      </c>
      <c r="C36" s="16" t="n"/>
    </row>
    <row r="37">
      <c r="B37" s="6" t="inlineStr">
        <is>
          <t>Per-Month Price — Monthly Plan (₹)</t>
        </is>
      </c>
      <c r="C37" s="7" t="n"/>
      <c r="D37" s="28" t="inlineStr">
        <is>
          <t>—</t>
        </is>
      </c>
      <c r="E37" s="28" t="inlineStr">
        <is>
          <t>—</t>
        </is>
      </c>
      <c r="F37" s="28" t="inlineStr">
        <is>
          <t>—</t>
        </is>
      </c>
      <c r="H37" s="31">
        <f>ROUND(D31/(1-0.17),0)</f>
        <v/>
      </c>
      <c r="I37" s="31">
        <f>ROUND(E31/(1-0.17),0)</f>
        <v/>
      </c>
      <c r="J37" s="31">
        <f>ROUND(F31/(1-0.17),0)</f>
        <v/>
      </c>
    </row>
    <row r="38">
      <c r="B38" s="6" t="inlineStr">
        <is>
          <t>Annual Equivalent Cost (×12) (₹)</t>
        </is>
      </c>
      <c r="C38" s="7" t="n"/>
      <c r="D38" s="28" t="inlineStr">
        <is>
          <t>—</t>
        </is>
      </c>
      <c r="E38" s="28" t="inlineStr">
        <is>
          <t>—</t>
        </is>
      </c>
      <c r="F38" s="28" t="inlineStr">
        <is>
          <t>—</t>
        </is>
      </c>
      <c r="H38" s="31">
        <f>ROUND(D31/(1-0.17),0)*12</f>
        <v/>
      </c>
      <c r="I38" s="31">
        <f>ROUND(E31/(1-0.17),0)*12</f>
        <v/>
      </c>
      <c r="J38" s="31">
        <f>ROUND(F31/(1-0.17),0)*12</f>
        <v/>
      </c>
    </row>
    <row r="39">
      <c r="B39" s="32" t="inlineStr">
        <is>
          <t>── SAVINGS ANALYSIS ──</t>
        </is>
      </c>
      <c r="C39" s="16" t="n"/>
    </row>
    <row r="40">
      <c r="B40" s="6" t="inlineStr">
        <is>
          <t>You Save Per Year by Billing Annually (₹)</t>
        </is>
      </c>
      <c r="C40" s="7" t="n"/>
      <c r="D40" s="33">
        <f>ROUND(D31/(1-0.17),0)*12-D31*12</f>
        <v/>
      </c>
      <c r="E40" s="33">
        <f>ROUND(E31/(1-0.17),0)*12-E31*12</f>
        <v/>
      </c>
      <c r="F40" s="33">
        <f>ROUND(F31/(1-0.17),0)*12-F31*12</f>
        <v/>
      </c>
      <c r="H40" s="28" t="inlineStr">
        <is>
          <t>—</t>
        </is>
      </c>
      <c r="I40" s="28" t="inlineStr">
        <is>
          <t>—</t>
        </is>
      </c>
      <c r="J40" s="28" t="inlineStr">
        <is>
          <t>—</t>
        </is>
      </c>
    </row>
    <row r="41">
      <c r="B41" s="6" t="inlineStr">
        <is>
          <t>Discount Captured  (%)</t>
        </is>
      </c>
      <c r="C41" s="7" t="n"/>
      <c r="D41" s="19">
        <f>(ROUND(D31/(1-0.17),0)*12-D31*12)/(ROUND(D31/(1-0.17),0)*12)</f>
        <v/>
      </c>
      <c r="E41" s="19">
        <f>(ROUND(E31/(1-0.17),0)*12-E31*12)/(ROUND(E31/(1-0.17),0)*12)</f>
        <v/>
      </c>
      <c r="F41" s="19">
        <f>(ROUND(F31/(1-0.17),0)*12-F31*12)/(ROUND(F31/(1-0.17),0)*12)</f>
        <v/>
      </c>
      <c r="H41" s="28" t="inlineStr">
        <is>
          <t>—</t>
        </is>
      </c>
      <c r="I41" s="28" t="inlineStr">
        <is>
          <t>—</t>
        </is>
      </c>
      <c r="J41" s="28" t="inlineStr">
        <is>
          <t>—</t>
        </is>
      </c>
    </row>
    <row r="42" ht="22" customHeight="1">
      <c r="B42" s="11" t="inlineStr">
        <is>
          <t>★  USD row (32) converts the ₹ price at the rate in D8 — retype D8 and the whole USD column re-prices.  Monthly column = Annual ÷ 0.83.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4" ht="22" customHeight="1">
      <c r="A44" s="4" t="inlineStr">
        <is>
          <t>QUICK REFERENCE  ·  PRICE SUMMARY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30" customHeight="1">
      <c r="B45" s="14" t="inlineStr">
        <is>
          <t>Tier</t>
        </is>
      </c>
      <c r="C45" s="34" t="n"/>
      <c r="D45" s="24" t="inlineStr">
        <is>
          <t>Per Month (Annual, ₹)</t>
        </is>
      </c>
      <c r="E45" s="35" t="n"/>
      <c r="F45" s="25" t="inlineStr">
        <is>
          <t>Total Per Year (₹)</t>
        </is>
      </c>
      <c r="G45" s="36" t="n"/>
      <c r="H45" s="26" t="inlineStr">
        <is>
          <t>Per Month (Annual, USD)</t>
        </is>
      </c>
      <c r="I45" s="37" t="n"/>
      <c r="J45" s="27" t="inlineStr">
        <is>
          <t>You Save / Year (₹)</t>
        </is>
      </c>
      <c r="K45" s="38" t="n"/>
    </row>
    <row r="46" ht="20" customHeight="1">
      <c r="B46" s="14" t="inlineStr">
        <is>
          <t>STARTER</t>
        </is>
      </c>
      <c r="C46" s="34" t="n"/>
      <c r="D46" s="39">
        <f>D31</f>
        <v/>
      </c>
      <c r="E46" s="40" t="n"/>
      <c r="F46" s="41">
        <f>D31*12</f>
        <v/>
      </c>
      <c r="G46" s="40" t="n"/>
      <c r="H46" s="42">
        <f>ROUND(D31/$D$8,0)</f>
        <v/>
      </c>
      <c r="I46" s="40" t="n"/>
      <c r="J46" s="43">
        <f>ROUND(D31/(1-0.17),0)*12-D31*12</f>
        <v/>
      </c>
      <c r="K46" s="40" t="n"/>
    </row>
    <row r="47" ht="20" customHeight="1">
      <c r="B47" s="14" t="inlineStr">
        <is>
          <t>PRO</t>
        </is>
      </c>
      <c r="C47" s="34" t="n"/>
      <c r="D47" s="39">
        <f>E31</f>
        <v/>
      </c>
      <c r="E47" s="40" t="n"/>
      <c r="F47" s="41">
        <f>E31*12</f>
        <v/>
      </c>
      <c r="G47" s="40" t="n"/>
      <c r="H47" s="42">
        <f>ROUND(E31/$D$8,0)</f>
        <v/>
      </c>
      <c r="I47" s="40" t="n"/>
      <c r="J47" s="43">
        <f>ROUND(E31/(1-0.17),0)*12-E31*12</f>
        <v/>
      </c>
      <c r="K47" s="40" t="n"/>
    </row>
    <row r="48" ht="20" customHeight="1">
      <c r="B48" s="14" t="inlineStr">
        <is>
          <t>ENTERPRISE</t>
        </is>
      </c>
      <c r="C48" s="34" t="n"/>
      <c r="D48" s="39">
        <f>F31</f>
        <v/>
      </c>
      <c r="E48" s="40" t="n"/>
      <c r="F48" s="41">
        <f>F31*12</f>
        <v/>
      </c>
      <c r="G48" s="40" t="n"/>
      <c r="H48" s="42">
        <f>ROUND(F31/$D$8,0)</f>
        <v/>
      </c>
      <c r="I48" s="40" t="n"/>
      <c r="J48" s="43">
        <f>ROUND(F31/(1-0.17),0)*12-F31*12</f>
        <v/>
      </c>
      <c r="K48" s="40" t="n"/>
    </row>
    <row r="50" ht="22" customHeight="1">
      <c r="A50" s="4" t="inlineStr">
        <is>
          <t>TIER FEATURE OVERVIEW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24" customHeight="1">
      <c r="B51" s="14" t="inlineStr">
        <is>
          <t>Feature / Capability</t>
        </is>
      </c>
      <c r="C51" s="34" t="n"/>
      <c r="D51" s="14" t="inlineStr">
        <is>
          <t>STARTER (Low)</t>
        </is>
      </c>
      <c r="E51" s="34" t="n"/>
      <c r="F51" s="44" t="inlineStr">
        <is>
          <t>PRO (Mid)</t>
        </is>
      </c>
      <c r="G51" s="45" t="n"/>
      <c r="H51" s="46" t="inlineStr">
        <is>
          <t>ENTERPRISE (High)</t>
        </is>
      </c>
      <c r="I51" s="47" t="n"/>
      <c r="J51" s="47" t="n"/>
    </row>
    <row r="52" ht="18" customHeight="1">
      <c r="B52" s="6" t="inlineStr">
        <is>
          <t>Organizations (multi-tenant)</t>
        </is>
      </c>
      <c r="C52" s="7" t="n"/>
      <c r="D52" s="48" t="inlineStr">
        <is>
          <t>1</t>
        </is>
      </c>
      <c r="E52" s="40" t="n"/>
      <c r="F52" s="44" t="inlineStr">
        <is>
          <t>1</t>
        </is>
      </c>
      <c r="G52" s="40" t="n"/>
      <c r="H52" s="46" t="inlineStr">
        <is>
          <t>Unlimited</t>
        </is>
      </c>
      <c r="I52" s="49" t="n"/>
      <c r="J52" s="40" t="n"/>
    </row>
    <row r="53" ht="18" customHeight="1">
      <c r="B53" s="6" t="inlineStr">
        <is>
          <t>Team seats</t>
        </is>
      </c>
      <c r="C53" s="7" t="n"/>
      <c r="D53" s="48" t="inlineStr">
        <is>
          <t>3</t>
        </is>
      </c>
      <c r="E53" s="40" t="n"/>
      <c r="F53" s="44" t="inlineStr">
        <is>
          <t>10</t>
        </is>
      </c>
      <c r="G53" s="40" t="n"/>
      <c r="H53" s="46" t="inlineStr">
        <is>
          <t>Unlimited</t>
        </is>
      </c>
      <c r="I53" s="49" t="n"/>
      <c r="J53" s="40" t="n"/>
    </row>
    <row r="54" ht="18" customHeight="1">
      <c r="B54" s="6" t="inlineStr">
        <is>
          <t>Media assets in library</t>
        </is>
      </c>
      <c r="C54" s="7" t="n"/>
      <c r="D54" s="48" t="inlineStr">
        <is>
          <t>250</t>
        </is>
      </c>
      <c r="E54" s="40" t="n"/>
      <c r="F54" s="44" t="inlineStr">
        <is>
          <t>5,000</t>
        </is>
      </c>
      <c r="G54" s="40" t="n"/>
      <c r="H54" s="46" t="inlineStr">
        <is>
          <t>Unlimited</t>
        </is>
      </c>
      <c r="I54" s="49" t="n"/>
      <c r="J54" s="40" t="n"/>
    </row>
    <row r="55" ht="18" customHeight="1">
      <c r="B55" s="6" t="inlineStr">
        <is>
          <t>VLM analysis — images (per mo)</t>
        </is>
      </c>
      <c r="C55" s="7" t="n"/>
      <c r="D55" s="48" t="inlineStr">
        <is>
          <t>100</t>
        </is>
      </c>
      <c r="E55" s="40" t="n"/>
      <c r="F55" s="44" t="inlineStr">
        <is>
          <t>1,000</t>
        </is>
      </c>
      <c r="G55" s="40" t="n"/>
      <c r="H55" s="46" t="inlineStr">
        <is>
          <t>5,000</t>
        </is>
      </c>
      <c r="I55" s="49" t="n"/>
      <c r="J55" s="40" t="n"/>
    </row>
    <row r="56" ht="18" customHeight="1">
      <c r="B56" s="6" t="inlineStr">
        <is>
          <t>Video analysis (ffmpeg frame sampling)</t>
        </is>
      </c>
      <c r="C56" s="7" t="n"/>
      <c r="D56" s="48" t="inlineStr">
        <is>
          <t>—</t>
        </is>
      </c>
      <c r="E56" s="40" t="n"/>
      <c r="F56" s="44" t="inlineStr">
        <is>
          <t>✔</t>
        </is>
      </c>
      <c r="G56" s="40" t="n"/>
      <c r="H56" s="46" t="inlineStr">
        <is>
          <t>✔</t>
        </is>
      </c>
      <c r="I56" s="49" t="n"/>
      <c r="J56" s="40" t="n"/>
    </row>
    <row r="57" ht="18" customHeight="1">
      <c r="B57" s="6" t="inlineStr">
        <is>
          <t>Before/after comparison + impact score</t>
        </is>
      </c>
      <c r="C57" s="7" t="n"/>
      <c r="D57" s="48" t="inlineStr">
        <is>
          <t>5 / mo</t>
        </is>
      </c>
      <c r="E57" s="40" t="n"/>
      <c r="F57" s="44" t="inlineStr">
        <is>
          <t>100 / mo</t>
        </is>
      </c>
      <c r="G57" s="40" t="n"/>
      <c r="H57" s="46" t="inlineStr">
        <is>
          <t>Unlimited</t>
        </is>
      </c>
      <c r="I57" s="49" t="n"/>
      <c r="J57" s="40" t="n"/>
    </row>
    <row r="58" ht="18" customHeight="1">
      <c r="B58" s="6" t="inlineStr">
        <is>
          <t>Semantic search (LLM-scored)</t>
        </is>
      </c>
      <c r="C58" s="7" t="n"/>
      <c r="D58" s="48" t="inlineStr">
        <is>
          <t>—</t>
        </is>
      </c>
      <c r="E58" s="40" t="n"/>
      <c r="F58" s="44" t="inlineStr">
        <is>
          <t>✔</t>
        </is>
      </c>
      <c r="G58" s="40" t="n"/>
      <c r="H58" s="46" t="inlineStr">
        <is>
          <t>✔</t>
        </is>
      </c>
      <c r="I58" s="49" t="n"/>
      <c r="J58" s="40" t="n"/>
    </row>
    <row r="59" ht="18" customHeight="1">
      <c r="B59" s="6" t="inlineStr">
        <is>
          <t>Saved searches</t>
        </is>
      </c>
      <c r="C59" s="7" t="n"/>
      <c r="D59" s="48" t="inlineStr">
        <is>
          <t>3</t>
        </is>
      </c>
      <c r="E59" s="40" t="n"/>
      <c r="F59" s="44" t="inlineStr">
        <is>
          <t>50</t>
        </is>
      </c>
      <c r="G59" s="40" t="n"/>
      <c r="H59" s="46" t="inlineStr">
        <is>
          <t>Unlimited</t>
        </is>
      </c>
      <c r="I59" s="49" t="n"/>
      <c r="J59" s="40" t="n"/>
    </row>
    <row r="60" ht="18" customHeight="1">
      <c r="B60" s="6" t="inlineStr">
        <is>
          <t>Impact / summary reports (LLM)</t>
        </is>
      </c>
      <c r="C60" s="7" t="n"/>
      <c r="D60" s="48" t="inlineStr">
        <is>
          <t>3 / mo</t>
        </is>
      </c>
      <c r="E60" s="40" t="n"/>
      <c r="F60" s="44" t="inlineStr">
        <is>
          <t>30 / mo</t>
        </is>
      </c>
      <c r="G60" s="40" t="n"/>
      <c r="H60" s="46" t="inlineStr">
        <is>
          <t>150 / mo</t>
        </is>
      </c>
      <c r="I60" s="49" t="n"/>
      <c r="J60" s="40" t="n"/>
    </row>
    <row r="61" ht="18" customHeight="1">
      <c r="B61" s="6" t="inlineStr">
        <is>
          <t>Report variants (4 angles) + clone</t>
        </is>
      </c>
      <c r="C61" s="7" t="n"/>
      <c r="D61" s="48" t="inlineStr">
        <is>
          <t>—</t>
        </is>
      </c>
      <c r="E61" s="40" t="n"/>
      <c r="F61" s="44" t="inlineStr">
        <is>
          <t>✔</t>
        </is>
      </c>
      <c r="G61" s="40" t="n"/>
      <c r="H61" s="46" t="inlineStr">
        <is>
          <t>✔</t>
        </is>
      </c>
      <c r="I61" s="49" t="n"/>
      <c r="J61" s="40" t="n"/>
    </row>
    <row r="62" ht="18" customHeight="1">
      <c r="B62" s="6" t="inlineStr">
        <is>
          <t>Campaign copy — IG / X / LinkedIn / newsletter</t>
        </is>
      </c>
      <c r="C62" s="7" t="n"/>
      <c r="D62" s="48" t="inlineStr">
        <is>
          <t>—</t>
        </is>
      </c>
      <c r="E62" s="40" t="n"/>
      <c r="F62" s="44" t="inlineStr">
        <is>
          <t>✔</t>
        </is>
      </c>
      <c r="G62" s="40" t="n"/>
      <c r="H62" s="46" t="inlineStr">
        <is>
          <t>✔</t>
        </is>
      </c>
      <c r="I62" s="49" t="n"/>
      <c r="J62" s="40" t="n"/>
    </row>
    <row r="63" ht="18" customHeight="1">
      <c r="B63" s="6" t="inlineStr">
        <is>
          <t>Scheduled reports + email delivery (cron)</t>
        </is>
      </c>
      <c r="C63" s="7" t="n"/>
      <c r="D63" s="48" t="inlineStr">
        <is>
          <t>—</t>
        </is>
      </c>
      <c r="E63" s="40" t="n"/>
      <c r="F63" s="44" t="inlineStr">
        <is>
          <t>—</t>
        </is>
      </c>
      <c r="G63" s="40" t="n"/>
      <c r="H63" s="46" t="inlineStr">
        <is>
          <t>✔</t>
        </is>
      </c>
      <c r="I63" s="49" t="n"/>
      <c r="J63" s="40" t="n"/>
    </row>
    <row r="64" ht="18" customHeight="1">
      <c r="B64" s="6" t="inlineStr">
        <is>
          <t>Public share links (/share/[token])</t>
        </is>
      </c>
      <c r="C64" s="7" t="n"/>
      <c r="D64" s="48" t="inlineStr">
        <is>
          <t>—</t>
        </is>
      </c>
      <c r="E64" s="40" t="n"/>
      <c r="F64" s="44" t="inlineStr">
        <is>
          <t>✔</t>
        </is>
      </c>
      <c r="G64" s="40" t="n"/>
      <c r="H64" s="46" t="inlineStr">
        <is>
          <t>✔</t>
        </is>
      </c>
      <c r="I64" s="49" t="n"/>
      <c r="J64" s="40" t="n"/>
    </row>
    <row r="65" ht="18" customHeight="1">
      <c r="B65" s="6" t="inlineStr">
        <is>
          <t>Project leaderboard + health score</t>
        </is>
      </c>
      <c r="C65" s="7" t="n"/>
      <c r="D65" s="48" t="inlineStr">
        <is>
          <t>—</t>
        </is>
      </c>
      <c r="E65" s="40" t="n"/>
      <c r="F65" s="44" t="inlineStr">
        <is>
          <t>✔</t>
        </is>
      </c>
      <c r="G65" s="40" t="n"/>
      <c r="H65" s="46" t="inlineStr">
        <is>
          <t>✔</t>
        </is>
      </c>
      <c r="I65" s="49" t="n"/>
      <c r="J65" s="40" t="n"/>
    </row>
    <row r="66" ht="18" customHeight="1">
      <c r="B66" s="6" t="inlineStr">
        <is>
          <t>Cloudinary CDN credits included</t>
        </is>
      </c>
      <c r="C66" s="7" t="n"/>
      <c r="D66" s="48" t="inlineStr">
        <is>
          <t>10</t>
        </is>
      </c>
      <c r="E66" s="40" t="n"/>
      <c r="F66" s="44" t="inlineStr">
        <is>
          <t>50</t>
        </is>
      </c>
      <c r="G66" s="40" t="n"/>
      <c r="H66" s="46" t="inlineStr">
        <is>
          <t>150</t>
        </is>
      </c>
      <c r="I66" s="49" t="n"/>
      <c r="J66" s="40" t="n"/>
    </row>
    <row r="67" ht="18" customHeight="1">
      <c r="B67" s="6" t="inlineStr">
        <is>
          <t>CSV export + bulk verify</t>
        </is>
      </c>
      <c r="C67" s="7" t="n"/>
      <c r="D67" s="48" t="inlineStr">
        <is>
          <t>—</t>
        </is>
      </c>
      <c r="E67" s="40" t="n"/>
      <c r="F67" s="44" t="inlineStr">
        <is>
          <t>✔</t>
        </is>
      </c>
      <c r="G67" s="40" t="n"/>
      <c r="H67" s="46" t="inlineStr">
        <is>
          <t>✔</t>
        </is>
      </c>
      <c r="I67" s="49" t="n"/>
      <c r="J67" s="40" t="n"/>
    </row>
    <row r="68" ht="18" customHeight="1">
      <c r="B68" s="6" t="inlineStr">
        <is>
          <t>SSO / RBAC / audit log</t>
        </is>
      </c>
      <c r="C68" s="7" t="n"/>
      <c r="D68" s="48" t="inlineStr">
        <is>
          <t>—</t>
        </is>
      </c>
      <c r="E68" s="40" t="n"/>
      <c r="F68" s="44" t="inlineStr">
        <is>
          <t>—</t>
        </is>
      </c>
      <c r="G68" s="40" t="n"/>
      <c r="H68" s="46" t="inlineStr">
        <is>
          <t>Phase 2</t>
        </is>
      </c>
      <c r="I68" s="49" t="n"/>
      <c r="J68" s="40" t="n"/>
    </row>
    <row r="69" ht="18" customHeight="1">
      <c r="B69" s="6" t="inlineStr">
        <is>
          <t>Support</t>
        </is>
      </c>
      <c r="C69" s="7" t="n"/>
      <c r="D69" s="48" t="inlineStr">
        <is>
          <t>Email</t>
        </is>
      </c>
      <c r="E69" s="40" t="n"/>
      <c r="F69" s="44" t="inlineStr">
        <is>
          <t>Email + Chat</t>
        </is>
      </c>
      <c r="G69" s="40" t="n"/>
      <c r="H69" s="46" t="inlineStr">
        <is>
          <t>Dedicated + SLA</t>
        </is>
      </c>
      <c r="I69" s="49" t="n"/>
      <c r="J69" s="40" t="n"/>
    </row>
    <row r="71" ht="22" customHeight="1">
      <c r="A71" s="4" t="inlineStr">
        <is>
          <t>PHASE 2 PRICING TRAJECTORY  (SSO · Audit trail · Public API · Verifier workflow)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20" customHeight="1">
      <c r="B72" s="50" t="inlineStr">
        <is>
          <t>Trigger</t>
        </is>
      </c>
      <c r="C72" s="45" t="n"/>
      <c r="D72" s="6" t="inlineStr">
        <is>
          <t>50 paying orgs + public API pilot + funder-verification pilots closed</t>
        </is>
      </c>
      <c r="E72" s="7" t="n"/>
      <c r="F72" s="7" t="n"/>
      <c r="G72" s="7" t="n"/>
      <c r="H72" s="7" t="n"/>
      <c r="I72" s="7" t="n"/>
      <c r="J72" s="7" t="n"/>
    </row>
    <row r="73" ht="20" customHeight="1">
      <c r="B73" s="50" t="inlineStr">
        <is>
          <t>Expected Uplift</t>
        </is>
      </c>
      <c r="C73" s="45" t="n"/>
      <c r="D73" s="6" t="inlineStr">
        <is>
          <t>Prices rise once SSO, RBAC, the audit log and the public API ship — evidence-grade compliance commands a premium</t>
        </is>
      </c>
      <c r="E73" s="7" t="n"/>
      <c r="F73" s="7" t="n"/>
      <c r="G73" s="7" t="n"/>
      <c r="H73" s="7" t="n"/>
      <c r="I73" s="7" t="n"/>
      <c r="J73" s="7" t="n"/>
    </row>
    <row r="74" ht="20" customHeight="1">
      <c r="B74" s="50" t="inlineStr">
        <is>
          <t>Starter Phase 2</t>
        </is>
      </c>
      <c r="C74" s="45" t="n"/>
      <c r="D74" s="6" t="inlineStr">
        <is>
          <t>₹2,999/mo  →  ₹4,000–₹5,000/mo  (public API + 500 analyses/mo)</t>
        </is>
      </c>
      <c r="E74" s="7" t="n"/>
      <c r="F74" s="7" t="n"/>
      <c r="G74" s="7" t="n"/>
      <c r="H74" s="7" t="n"/>
      <c r="I74" s="7" t="n"/>
      <c r="J74" s="7" t="n"/>
    </row>
    <row r="75" ht="20" customHeight="1">
      <c r="B75" s="50" t="inlineStr">
        <is>
          <t>Pro Phase 2</t>
        </is>
      </c>
      <c r="C75" s="45" t="n"/>
      <c r="D75" s="6" t="inlineStr">
        <is>
          <t>₹7,999/mo  →  ₹12,000–₹15,000/mo  (SSO + audit trail + unlimited semantic search)</t>
        </is>
      </c>
      <c r="E75" s="7" t="n"/>
      <c r="F75" s="7" t="n"/>
      <c r="G75" s="7" t="n"/>
      <c r="H75" s="7" t="n"/>
      <c r="I75" s="7" t="n"/>
      <c r="J75" s="7" t="n"/>
    </row>
    <row r="76" ht="20" customHeight="1">
      <c r="B76" s="50" t="inlineStr">
        <is>
          <t>Enterprise Phase 2</t>
        </is>
      </c>
      <c r="C76" s="45" t="n"/>
      <c r="D76" s="6" t="inlineStr">
        <is>
          <t>₹19,999/mo  →  ₹29,000–₹39,000/mo  (multi-funder dashboards + verifier sign-off + 99.9% SLA)</t>
        </is>
      </c>
      <c r="E76" s="7" t="n"/>
      <c r="F76" s="7" t="n"/>
      <c r="G76" s="7" t="n"/>
      <c r="H76" s="7" t="n"/>
      <c r="I76" s="7" t="n"/>
      <c r="J76" s="7" t="n"/>
    </row>
    <row r="77" ht="20" customHeight="1">
      <c r="B77" s="50" t="inlineStr">
        <is>
          <t>Rationale</t>
        </is>
      </c>
      <c r="C77" s="45" t="n"/>
      <c r="D77" s="6" t="inlineStr">
        <is>
          <t>Verification workflow · SSO/RBAC · immutable audit log · public API · BYOC storage · 99.9% uptime SLA</t>
        </is>
      </c>
      <c r="E77" s="7" t="n"/>
      <c r="F77" s="7" t="n"/>
      <c r="G77" s="7" t="n"/>
      <c r="H77" s="7" t="n"/>
      <c r="I77" s="7" t="n"/>
      <c r="J77" s="7" t="n"/>
    </row>
    <row r="79" ht="18" customHeight="1">
      <c r="A79" s="51" t="inlineStr">
        <is>
          <t>ImpactLens  ·  Field evidence → AI insight → donor-ready reports  ·  Phase 1 Subscription Pricing  ·  All prices in INR (₹); USD indicative at the rate in D8  ·  Subject to revision as product scales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</sheetData>
  <mergeCells count="160">
    <mergeCell ref="D60:E60"/>
    <mergeCell ref="F68:G68"/>
    <mergeCell ref="B14:J14"/>
    <mergeCell ref="B22:C22"/>
    <mergeCell ref="B31:C31"/>
    <mergeCell ref="H17:J17"/>
    <mergeCell ref="H69:J69"/>
    <mergeCell ref="D45:E45"/>
    <mergeCell ref="B12:C12"/>
    <mergeCell ref="B77:C77"/>
    <mergeCell ref="B21:C21"/>
    <mergeCell ref="D28:F28"/>
    <mergeCell ref="H66:J66"/>
    <mergeCell ref="B67:C67"/>
    <mergeCell ref="A16:K16"/>
    <mergeCell ref="B61:C61"/>
    <mergeCell ref="D61:E61"/>
    <mergeCell ref="D10:J10"/>
    <mergeCell ref="J45:K45"/>
    <mergeCell ref="D48:E48"/>
    <mergeCell ref="A27:K27"/>
    <mergeCell ref="B13:C13"/>
    <mergeCell ref="B69:C69"/>
    <mergeCell ref="B38:C38"/>
    <mergeCell ref="H45:I45"/>
    <mergeCell ref="A2:K2"/>
    <mergeCell ref="D62:E62"/>
    <mergeCell ref="B40:C40"/>
    <mergeCell ref="D56:E56"/>
    <mergeCell ref="D11:J11"/>
    <mergeCell ref="F56:G56"/>
    <mergeCell ref="D76:J76"/>
    <mergeCell ref="B55:C55"/>
    <mergeCell ref="B24:C24"/>
    <mergeCell ref="B64:C64"/>
    <mergeCell ref="B33:C33"/>
    <mergeCell ref="D64:E64"/>
    <mergeCell ref="B51:C51"/>
    <mergeCell ref="D75:J75"/>
    <mergeCell ref="D51:E51"/>
    <mergeCell ref="H58:J58"/>
    <mergeCell ref="B32:C32"/>
    <mergeCell ref="B63:C63"/>
    <mergeCell ref="B41:C41"/>
    <mergeCell ref="B35:C35"/>
    <mergeCell ref="F57:G57"/>
    <mergeCell ref="H64:J64"/>
    <mergeCell ref="H51:J51"/>
    <mergeCell ref="H60:J60"/>
    <mergeCell ref="B25:C25"/>
    <mergeCell ref="D9:J9"/>
    <mergeCell ref="F54:G54"/>
    <mergeCell ref="F63:G63"/>
    <mergeCell ref="B66:C66"/>
    <mergeCell ref="B18:C18"/>
    <mergeCell ref="A79:K79"/>
    <mergeCell ref="B11:C11"/>
    <mergeCell ref="H57:J57"/>
    <mergeCell ref="F45:G45"/>
    <mergeCell ref="D66:E66"/>
    <mergeCell ref="B53:C53"/>
    <mergeCell ref="F66:G66"/>
    <mergeCell ref="D53:E53"/>
    <mergeCell ref="D47:E47"/>
    <mergeCell ref="F47:G47"/>
    <mergeCell ref="B29:C29"/>
    <mergeCell ref="F62:G62"/>
    <mergeCell ref="B37:C37"/>
    <mergeCell ref="A71:K71"/>
    <mergeCell ref="F46:G46"/>
    <mergeCell ref="H67:J67"/>
    <mergeCell ref="F61:G61"/>
    <mergeCell ref="B6:C6"/>
    <mergeCell ref="F48:G48"/>
    <mergeCell ref="J46:K46"/>
    <mergeCell ref="H48:I48"/>
    <mergeCell ref="J48:K48"/>
    <mergeCell ref="H59:J59"/>
    <mergeCell ref="F64:G64"/>
    <mergeCell ref="B54:C54"/>
    <mergeCell ref="B7:C7"/>
    <mergeCell ref="B72:C72"/>
    <mergeCell ref="B42:J42"/>
    <mergeCell ref="D63:E63"/>
    <mergeCell ref="D74:J74"/>
    <mergeCell ref="D12:J12"/>
    <mergeCell ref="H52:J52"/>
    <mergeCell ref="H61:J61"/>
    <mergeCell ref="B56:C56"/>
    <mergeCell ref="D65:E65"/>
    <mergeCell ref="B58:C58"/>
    <mergeCell ref="B52:C52"/>
    <mergeCell ref="D52:E52"/>
    <mergeCell ref="H65:J65"/>
    <mergeCell ref="B60:C60"/>
    <mergeCell ref="B17:C17"/>
    <mergeCell ref="B57:C57"/>
    <mergeCell ref="B5:J5"/>
    <mergeCell ref="B19:C19"/>
    <mergeCell ref="B34:C34"/>
    <mergeCell ref="B9:C9"/>
    <mergeCell ref="H53:J53"/>
    <mergeCell ref="H63:J63"/>
    <mergeCell ref="B30:C30"/>
    <mergeCell ref="D55:E55"/>
    <mergeCell ref="B20:C20"/>
    <mergeCell ref="D67:E67"/>
    <mergeCell ref="D7:J7"/>
    <mergeCell ref="B45:C45"/>
    <mergeCell ref="H55:J55"/>
    <mergeCell ref="B76:C76"/>
    <mergeCell ref="D54:E54"/>
    <mergeCell ref="B75:C75"/>
    <mergeCell ref="D69:E69"/>
    <mergeCell ref="B47:C47"/>
    <mergeCell ref="B62:C62"/>
    <mergeCell ref="F69:G69"/>
    <mergeCell ref="B59:C59"/>
    <mergeCell ref="F65:G65"/>
    <mergeCell ref="D8:J8"/>
    <mergeCell ref="B46:C46"/>
    <mergeCell ref="D46:E46"/>
    <mergeCell ref="D73:J73"/>
    <mergeCell ref="B39:C39"/>
    <mergeCell ref="F59:G59"/>
    <mergeCell ref="F55:G55"/>
    <mergeCell ref="B48:C48"/>
    <mergeCell ref="H28:J28"/>
    <mergeCell ref="H46:I46"/>
    <mergeCell ref="D57:E57"/>
    <mergeCell ref="F51:G51"/>
    <mergeCell ref="H56:J56"/>
    <mergeCell ref="B23:C23"/>
    <mergeCell ref="B8:C8"/>
    <mergeCell ref="B73:C73"/>
    <mergeCell ref="A50:K50"/>
    <mergeCell ref="H62:J62"/>
    <mergeCell ref="A3:K3"/>
    <mergeCell ref="B10:C10"/>
    <mergeCell ref="D6:J6"/>
    <mergeCell ref="D77:J77"/>
    <mergeCell ref="D58:E58"/>
    <mergeCell ref="H47:I47"/>
    <mergeCell ref="D13:J13"/>
    <mergeCell ref="J47:K47"/>
    <mergeCell ref="F58:G58"/>
    <mergeCell ref="F52:G52"/>
    <mergeCell ref="B65:C65"/>
    <mergeCell ref="F67:G67"/>
    <mergeCell ref="B74:C74"/>
    <mergeCell ref="B68:C68"/>
    <mergeCell ref="H54:J54"/>
    <mergeCell ref="D68:E68"/>
    <mergeCell ref="F60:G60"/>
    <mergeCell ref="B36:C36"/>
    <mergeCell ref="D72:J72"/>
    <mergeCell ref="A44:K44"/>
    <mergeCell ref="H68:J68"/>
    <mergeCell ref="D59:E59"/>
    <mergeCell ref="F53:G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2026-09-29T09:59:41Z</dcterms:created>
  <dcterms:modified xsi:type="dcterms:W3CDTF">2026-09-29T09:59:41Z</dcterms:modified>
</cp:coreProperties>
</file>