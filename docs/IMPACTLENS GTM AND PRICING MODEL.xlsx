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CP &amp; Segmentation" sheetId="2" state="visible" r:id="rId4"/>
    <sheet name="GTM Strategy" sheetId="3" state="visible" r:id="rId5"/>
    <sheet name="Pricing" sheetId="4" state="visible" r:id="rId6"/>
    <sheet name="Revenue Model" sheetId="5" state="visible" r:id="rId7"/>
    <sheet name="Competitive Positioning" sheetId="6" state="visible" r:id="rId8"/>
    <sheet name="Planning Inputs" sheetId="7" state="visible" r:id="rId9"/>
    <sheet name="Assumptions &amp; Sources" sheetId="8" state="visible" r:id="rId10"/>
    <sheet name="Open Items" sheetId="9" state="visible" r:id="rId11"/>
  </sheets>
  <definedNames>
    <definedName function="false" hidden="true" localSheetId="7" name="_xlnm._FilterDatabase" vbProcedure="false">'Assumptions &amp; Sources'!$B$5:$K$52</definedName>
    <definedName function="false" hidden="true" localSheetId="5" name="_xlnm._FilterDatabase" vbProcedure="false">'Competitive Positioning'!$B$7:$N$32</definedName>
    <definedName function="false" hidden="true" localSheetId="1" name="_xlnm._FilterDatabase" vbProcedure="false">'ICP &amp; Segmentation'!$B$6:$M$13</definedName>
    <definedName function="false" hidden="true" localSheetId="8" name="_xlnm._FilterDatabase" vbProcedure="false">'Open Items'!$B$5:$G$21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<sst xmlns="http://schemas.openxmlformats.org/spreadsheetml/2006/main" count="1892" uniqueCount="1236">
  <si>
    <t xml:space="preserve">IMPACTLENS: GTM AND PRICING MODEL</t>
  </si>
  <si>
    <t xml:space="preserve">Status: DRAFT for review, 2026-09-30. Pricing is documented; GTM and revenue inputs that the docs lacked are now labelled planning assumptions on 'Planning Inputs' (owner to confirm). Colour key: blue = typed from a source · black = formula · green = linked from another sheet · yellow = key assumption to confirm.</t>
  </si>
  <si>
    <t xml:space="preserve">PRODUCT AND CUSTOMER</t>
  </si>
  <si>
    <t xml:space="preserve">Item</t>
  </si>
  <si>
    <t xml:space="preserve">Summary</t>
  </si>
  <si>
    <t xml:space="preserve">Source</t>
  </si>
  <si>
    <t xml:space="preserve">Product overview</t>
  </si>
  <si>
    <t xml:space="preserve">AI-powered media platform for impact and sustainability organisations. Field photos and video → AI analysis (captions, tags, signals, confidence, SDG mapping) → searchable, org-scoped evidence → before/after comparison, donor-ready reports and campaign copy, with scheduled delivery and public share links.</t>
  </si>
  <si>
    <t xml:space="preserve">PRD.md (repo root, outside docs/) §1, §4; IMPACTLENS PRICING MODEL.xlsx › A3</t>
  </si>
  <si>
    <t xml:space="preserve">Target customer</t>
  </si>
  <si>
    <t xml:space="preserve">NGOs, CSR teams and climate projects holding large volumes of unorganised field media. Users: program managers (org owners) and comms / fundraising staff; donors read shared reports. The tiers target Low / Mid / High 'impact evidence maturity' (proposed criteria on Pricing row 13).</t>
  </si>
  <si>
    <t xml:space="preserve">PRD.md (repo root, outside docs/) §1–§2; IMPACTLENS PRICING MODEL.xlsx › row 30</t>
  </si>
  <si>
    <t xml:space="preserve">Core value proposition</t>
  </si>
  <si>
    <t xml:space="preserve">'Field evidence → AI insight → donor-ready reports'. Cut report and campaign drafting from hours to minutes, grounded in the org's own assets, with each org's data isolated.</t>
  </si>
  <si>
    <t xml:space="preserve">IMPACTLENS PRICING MODEL.xlsx › A3; PRD.md (repo root, outside docs/) §3</t>
  </si>
  <si>
    <t xml:space="preserve">GTM strategy</t>
  </si>
  <si>
    <t xml:space="preserve">DOCUMENTED: segments, value proposition, product journey, support level per tier, tier fences, a Phase 2 trigger. ASSUMED (Planning Inputs, to confirm): India-first geography, content / referral / connector / share-link channels, self-serve + founder-led motion, funnel rates, CAC ceiling, market size. HYPOTHESIS: position as the report layer for organisations that already have field media; do not lead with 'AI tagging'.</t>
  </si>
  <si>
    <t xml:space="preserve">GTM Strategy; ICP &amp; Segmentation</t>
  </si>
  <si>
    <t xml:space="preserve">Pricing strategy</t>
  </si>
  <si>
    <t xml:space="preserve">Three per-organisation subscription tiers. The annual-billing price is the base; the monthly plan costs annual ÷ (1 − 17%). Tiers are fenced by limits and features (video, semantic search, share links and campaign copy from Pro; scheduled reports from Enterprise). Documented Phase 2 raises prices when SSO, RBAC, audit log, public API and verifier workflow ship.</t>
  </si>
  <si>
    <t xml:space="preserve">IMPACTLENS PRICING MODEL.xlsx; Pricing</t>
  </si>
  <si>
    <t xml:space="preserve">PRICE POINTS  (linked from Pricing)</t>
  </si>
  <si>
    <t xml:space="preserve">Starter</t>
  </si>
  <si>
    <t xml:space="preserve">Pro</t>
  </si>
  <si>
    <t xml:space="preserve">Enterprise</t>
  </si>
  <si>
    <t xml:space="preserve">Comment</t>
  </si>
  <si>
    <t xml:space="preserve">Price, annual plan (₹ / month)</t>
  </si>
  <si>
    <t xml:space="preserve">Documented.</t>
  </si>
  <si>
    <t xml:space="preserve">Price, monthly plan (₹ / month)</t>
  </si>
  <si>
    <t xml:space="preserve">Calculated: annual ÷ (1 − 17%).</t>
  </si>
  <si>
    <t xml:space="preserve">Price, annual plan (USD / month)</t>
  </si>
  <si>
    <t xml:space="preserve">Calculated at the workbook's FX rate; indicative.</t>
  </si>
  <si>
    <t xml:space="preserve">Phase 2 price, low (₹ / month)</t>
  </si>
  <si>
    <t xml:space="preserve">Documented; not in effect.</t>
  </si>
  <si>
    <t xml:space="preserve">Phase 2 price, high (₹ / month)</t>
  </si>
  <si>
    <t xml:space="preserve">Gross margin, as modelled</t>
  </si>
  <si>
    <t xml:space="preserve">Calculated; cost floor at full allowance use.</t>
  </si>
  <si>
    <t xml:space="preserve">Gross margin, published Cloudinary price</t>
  </si>
  <si>
    <t xml:space="preserve">Calculated; see contradiction O-01.</t>
  </si>
  <si>
    <t xml:space="preserve">Gross margin, all-video upper bound</t>
  </si>
  <si>
    <t xml:space="preserve">Calculated stress case; see O-06.</t>
  </si>
  <si>
    <t xml:space="preserve">KEY ASSUMPTIONS TO CONFIRM</t>
  </si>
  <si>
    <t xml:space="preserve">Cloudinary cost per credit</t>
  </si>
  <si>
    <t xml:space="preserve">Model uses this; published price implies a higher figure (O-01).</t>
  </si>
  <si>
    <t xml:space="preserve">AI cost per vision analysis (₹)</t>
  </si>
  <si>
    <t xml:space="preserve">Unmeasured assumption.</t>
  </si>
  <si>
    <t xml:space="preserve">Annual billing discount</t>
  </si>
  <si>
    <t xml:space="preserve">USD → INR rate</t>
  </si>
  <si>
    <t xml:space="preserve">Documented, undated.</t>
  </si>
  <si>
    <t xml:space="preserve">Organisations for Phase 2 pricing</t>
  </si>
  <si>
    <t xml:space="preserve">Documented trigger (plus API pilot and funder-verification pilots).</t>
  </si>
  <si>
    <t xml:space="preserve">KEY METRICS / KPIs</t>
  </si>
  <si>
    <t xml:space="preserve">KPI</t>
  </si>
  <si>
    <t xml:space="preserve">Target</t>
  </si>
  <si>
    <t xml:space="preserve">Source / status</t>
  </si>
  <si>
    <t xml:space="preserve">Time to a searchable asset</t>
  </si>
  <si>
    <t xml:space="preserve">Under 30 s per image</t>
  </si>
  <si>
    <t xml:space="preserve">Documented: PRD.md (repo root, outside docs/) §6</t>
  </si>
  <si>
    <t xml:space="preserve">Reports citing ≥ 3 real assets</t>
  </si>
  <si>
    <t xml:space="preserve">100%</t>
  </si>
  <si>
    <t xml:space="preserve">Documented: PRD.md (repo root, outside docs/) §6 (not enforced today)</t>
  </si>
  <si>
    <t xml:space="preserve">Cross-tenant reads / writes</t>
  </si>
  <si>
    <t xml:space="preserve">0</t>
  </si>
  <si>
    <t xml:space="preserve">Paying organisations (Phase 2 trigger)</t>
  </si>
  <si>
    <t xml:space="preserve">50</t>
  </si>
  <si>
    <t xml:space="preserve">Documented: IMPACTLENS PRICING MODEL.xlsx › D72</t>
  </si>
  <si>
    <t xml:space="preserve">CAC, conversion, churn, NRR</t>
  </si>
  <si>
    <t xml:space="preserve">Assumed targets (Planning Inputs; Revenue Model section D).</t>
  </si>
  <si>
    <t xml:space="preserve">HOW COMPLETE IS THE EVIDENCE?  (counts from 'Assumptions &amp; Sources')</t>
  </si>
  <si>
    <t xml:space="preserve">Type</t>
  </si>
  <si>
    <t xml:space="preserve">Items</t>
  </si>
  <si>
    <t xml:space="preserve">Documented</t>
  </si>
  <si>
    <t xml:space="preserve">Calculated</t>
  </si>
  <si>
    <t xml:space="preserve">Assumption</t>
  </si>
  <si>
    <t xml:space="preserve">Hypothesis</t>
  </si>
  <si>
    <t xml:space="preserve">Unfilled</t>
  </si>
  <si>
    <t xml:space="preserve">Contradicted</t>
  </si>
  <si>
    <t xml:space="preserve">Open items (contradictions and gaps)</t>
  </si>
  <si>
    <t xml:space="preserve">SHEETS</t>
  </si>
  <si>
    <t xml:space="preserve">Executive Summary</t>
  </si>
  <si>
    <t xml:space="preserve">This page.</t>
  </si>
  <si>
    <t xml:space="preserve">ICP &amp; Segmentation</t>
  </si>
  <si>
    <t xml:space="preserve">Segments, pain points, decision makers, tier fit.</t>
  </si>
  <si>
    <t xml:space="preserve">GTM Strategy</t>
  </si>
  <si>
    <t xml:space="preserve">Strategy elements, journey and conversion stages, phasing, KPIs.</t>
  </si>
  <si>
    <t xml:space="preserve">Pricing</t>
  </si>
  <si>
    <t xml:space="preserve">Inputs, tiers, entitlements, unit economics, Phase 2, discounts / add-ons.</t>
  </si>
  <si>
    <t xml:space="preserve">Revenue Model</t>
  </si>
  <si>
    <t xml:space="preserve">Per-customer economics, scale arithmetic, blank scenario builder.</t>
  </si>
  <si>
    <t xml:space="preserve">Competitive Positioning</t>
  </si>
  <si>
    <t xml:space="preserve">25 competitors with sources, prices and differentiation.</t>
  </si>
  <si>
    <t xml:space="preserve">Assumptions &amp; Sources</t>
  </si>
  <si>
    <t xml:space="preserve">Register of every input with source and status.</t>
  </si>
  <si>
    <t xml:space="preserve">Open Items</t>
  </si>
  <si>
    <t xml:space="preserve">Contradictions and missing information.</t>
  </si>
  <si>
    <t xml:space="preserve">Planning Inputs</t>
  </si>
  <si>
    <t xml:space="preserve">Every assumption the docs lacked: funnel, churn, CAC, costs, market, add-ons, segment scores.</t>
  </si>
  <si>
    <t xml:space="preserve">ICP &amp; SEGMENTATION</t>
  </si>
  <si>
    <t xml:space="preserve">Segments are taken from PRD.md §2 and the problem statement, plus hypotheses from docs/COMPETITIVE-LANDSCAPE.md §3. Buying triggers and decision makers were not in the docs; they are filled as Assumptions (no customer interviews yet). Attractiveness is a weighted score from 'Planning Inputs' section 9. Filter on the Status column.</t>
  </si>
  <si>
    <t xml:space="preserve">A · CUSTOMER SEGMENTS</t>
  </si>
  <si>
    <t xml:space="preserve">ID</t>
  </si>
  <si>
    <t xml:space="preserve">Customer segment</t>
  </si>
  <si>
    <t xml:space="preserve">Customer type</t>
  </si>
  <si>
    <t xml:space="preserve">Characteristics (documented)</t>
  </si>
  <si>
    <t xml:space="preserve">Pain points</t>
  </si>
  <si>
    <t xml:space="preserve">Needs / use cases</t>
  </si>
  <si>
    <t xml:space="preserve">Buying triggers</t>
  </si>
  <si>
    <t xml:space="preserve">Decision makers</t>
  </si>
  <si>
    <t xml:space="preserve">Attractiveness</t>
  </si>
  <si>
    <t xml:space="preserve">Confidence</t>
  </si>
  <si>
    <t xml:space="preserve">Status</t>
  </si>
  <si>
    <t xml:space="preserve">S1</t>
  </si>
  <si>
    <t xml:space="preserve">Program teams at NGOs and impact organisations</t>
  </si>
  <si>
    <t xml:space="preserve">Buyer and user (persona: 'Program manager', the org owner)</t>
  </si>
  <si>
    <t xml:space="preserve">Collects large volumes of photos and video from plantings, installs, cleanups and classrooms. Each org is its own workspace; joining an existing org needs an owner's invite code.</t>
  </si>
  <si>
    <t xml:space="preserve">Media sits unorganised. Proving impact to donors means someone manually sorting files, writing captions, finding before/after pairs and drafting reports. The evidence exists, but nobody can search it or cite it.</t>
  </si>
  <si>
    <t xml:space="preserve">Upload field media and organise it by project; show progress over time (map, timeline, SDG goals, health score); before/after comparison; keep the org's data isolated.</t>
  </si>
  <si>
    <t xml:space="preserve">Donor or grant report deadline; a new funder asking for photo evidence; annual-report season.</t>
  </si>
  <si>
    <t xml:space="preserve">Program manager (org owner) chooses; executive director approves spend at Pro and above (assumption).</t>
  </si>
  <si>
    <t xml:space="preserve">PRD.md (repo root, outside docs/) §1, §2, §3</t>
  </si>
  <si>
    <t xml:space="preserve">S2</t>
  </si>
  <si>
    <t xml:space="preserve">Comms and fundraising teams</t>
  </si>
  <si>
    <t xml:space="preserve">User (persona: 'Comms / fundraising', a member)</t>
  </si>
  <si>
    <t xml:space="preserve">Draft donor reports and social campaigns from the org's own assets.</t>
  </si>
  <si>
    <t xml:space="preserve">Same as S1; specifically finding the right shot fast and drafting reports and campaigns by hand.</t>
  </si>
  <si>
    <t xml:space="preserve">Semantic search over media; impact, summary, campaign and comparison reports (1–4 variants, choice of tone); campaign copy per platform (Instagram, X, LinkedIn, newsletter).</t>
  </si>
  <si>
    <t xml:space="preserve">Fundraising campaign or annual report; a social-media push around an event.</t>
  </si>
  <si>
    <t xml:space="preserve">Influencer, not a budget holder: head of comms recommends, executive director approves (assumption).</t>
  </si>
  <si>
    <t xml:space="preserve">PRD.md (repo root, outside docs/) §2</t>
  </si>
  <si>
    <t xml:space="preserve">S3</t>
  </si>
  <si>
    <t xml:space="preserve">Corporate CSR and sustainability teams</t>
  </si>
  <si>
    <t xml:space="preserve">Buyer (named as an intended user of the product)</t>
  </si>
  <si>
    <t xml:space="preserve">CSR teams are named in the problem statement. The competitor research found BNZ Impact naming 'Corporates &amp; CSR Teams' as its buyers and selling geo-tagged, verified evidence.</t>
  </si>
  <si>
    <t xml:space="preserve">Need evidence that can be verified. ImpactLens today has no GPS, no content hash and a manual 'verified' flag, so it is under-serving this segment (memo §1, §3).</t>
  </si>
  <si>
    <t xml:space="preserve">Verifiable evidence packs; funder-facing reporting.</t>
  </si>
  <si>
    <t xml:space="preserve">Annual CSR report and board review of Section 135 spend; audits of implementation partners.</t>
  </si>
  <si>
    <t xml:space="preserve">CSR head or sustainability lead; procurement signs Enterprise contracts (assumption).</t>
  </si>
  <si>
    <t xml:space="preserve">PRD.md (repo root, outside docs/) §1; docs/COMPETITIVE-LANDSCAPE.md §3 (verified: BNZ Impact page, 2026-09-29)</t>
  </si>
  <si>
    <t xml:space="preserve">Medium</t>
  </si>
  <si>
    <t xml:space="preserve">S4</t>
  </si>
  <si>
    <t xml:space="preserve">Governments and sustainability organisations</t>
  </si>
  <si>
    <t xml:space="preserve">Named in the hackathon brief</t>
  </si>
  <si>
    <t xml:space="preserve">The brief lists 'NGOs, governments, and sustainability organizations' as generators of field media.</t>
  </si>
  <si>
    <t xml:space="preserve">As the brief states: manually organising, analysing and verifying media is time-consuming and hard to scale.</t>
  </si>
  <si>
    <t xml:space="preserve">Scheme monitoring evidence with data-residency and procurement (tender / GeM) rules (assumption).</t>
  </si>
  <si>
    <t xml:space="preserve">Scheme review cycles and audit findings.</t>
  </si>
  <si>
    <t xml:space="preserve">Department officer through a tender; long cycle (assumption).</t>
  </si>
  <si>
    <t xml:space="preserve">Hackathon brief (Problem Statement 02; supplied in session, not stored in the repo)</t>
  </si>
  <si>
    <t xml:space="preserve">Low</t>
  </si>
  <si>
    <t xml:space="preserve">S5</t>
  </si>
  <si>
    <t xml:space="preserve">Small and mid NGOs with a photo backlog and no M&amp;E staff</t>
  </si>
  <si>
    <t xml:space="preserve">Buyer (proposed gap segment)</t>
  </si>
  <si>
    <t xml:space="preserve">Has a library of field photos and video but no monitoring-and-evaluation team.</t>
  </si>
  <si>
    <t xml:space="preserve">The priced tools found aim at teams that collect data (capture, forms) or fund programs (M&amp;E suites): no priced plan in the $30–$100 range turns an existing photo library into cited reports.</t>
  </si>
  <si>
    <t xml:space="preserve">Turn an existing media library into searchable, cited, donor-ready evidence at low cost.</t>
  </si>
  <si>
    <t xml:space="preserve">First institutional grant, or a donor asking for evidence the team cannot find.</t>
  </si>
  <si>
    <t xml:space="preserve">Founder or executive director: one decision maker (assumption).</t>
  </si>
  <si>
    <t xml:space="preserve">docs/COMPETITIVE-LANDSCAPE.md §1, §3 (calculated from verified competitor prices)</t>
  </si>
  <si>
    <t xml:space="preserve">S6</t>
  </si>
  <si>
    <t xml:space="preserve">Funder-verification-driven organisations (Phase 2)</t>
  </si>
  <si>
    <t xml:space="preserve">Buyer (future)</t>
  </si>
  <si>
    <t xml:space="preserve">Multi-funder programs that need verifier sign-off, SSO / RBAC and an audit trail.</t>
  </si>
  <si>
    <t xml:space="preserve">Need evidence-grade compliance (per the Phase 2 rationale).</t>
  </si>
  <si>
    <t xml:space="preserve">Verification workflow, immutable audit log, public API, multi-funder dashboards, BYOC storage, 99.9% uptime SLA.</t>
  </si>
  <si>
    <t xml:space="preserve">Documented trigger for Phase 2 pricing: 50 paying orgs + public API pilot + funder-verification pilots closed.</t>
  </si>
  <si>
    <t xml:space="preserve">Funder's M&amp;E lead together with the org's executive director; verifier sign-off (assumption).</t>
  </si>
  <si>
    <t xml:space="preserve">IMPACTLENS PRICING MODEL.xlsx › rows 71–77</t>
  </si>
  <si>
    <t xml:space="preserve">S7</t>
  </si>
  <si>
    <t xml:space="preserve">Donors and external stakeholders</t>
  </si>
  <si>
    <t xml:space="preserve">Reader, not a buyer</t>
  </si>
  <si>
    <t xml:space="preserve">Reads a report through a public read-only link, with no account.</t>
  </si>
  <si>
    <t xml:space="preserve">Cannot see the underlying evidence: the share page and its report show text only (memo U8).</t>
  </si>
  <si>
    <t xml:space="preserve">Read a report through a public link; ideally see the evidence behind it.</t>
  </si>
  <si>
    <t xml:space="preserve">n/a: does not purchase.</t>
  </si>
  <si>
    <t xml:space="preserve">n/a</t>
  </si>
  <si>
    <t xml:space="preserve">PRD.md (repo root, outside docs/) §2; docs/COMPETITIVE-LANDSCAPE.md U8</t>
  </si>
  <si>
    <t xml:space="preserve">B · TIER FIT  (how the documented pricing tiers map to customers)</t>
  </si>
  <si>
    <t xml:space="preserve">Tier</t>
  </si>
  <si>
    <t xml:space="preserve">Impact-evidence maturity</t>
  </si>
  <si>
    <t xml:space="preserve">Price (₹ / month, annual plan)</t>
  </si>
  <si>
    <t xml:space="preserve">Segment fit</t>
  </si>
  <si>
    <t xml:space="preserve">Most likely S5 and small S1 teams (inference from 'Low maturity' and the 3-seat, 250-asset limits).</t>
  </si>
  <si>
    <t xml:space="preserve">S1 and S2 teams that need search, campaign copy and share links (inferred from the feature fences).</t>
  </si>
  <si>
    <t xml:space="preserve">S3 and S6 (multi-org, scheduled reports, dedicated support; verification features arrive in Phase 2).</t>
  </si>
  <si>
    <t xml:space="preserve">Only the maturity label is documented for each tier. The mapping to segments is my inference and is marked Assumption. 'Maturity' has no definition (Open Items O-11).</t>
  </si>
  <si>
    <t xml:space="preserve">GTM STRATEGY</t>
  </si>
  <si>
    <t xml:space="preserve">Documented rows come from the PRD and the pricing model. Channels, marketing, sales channel, geography, funnel volumes and GTM KPI targets did not exist in the docs; they are now filled from 'Planning Inputs' and marked Assumption. Hypothesis rows come from docs/COMPETITIVE-LANDSCAPE.md.</t>
  </si>
  <si>
    <t xml:space="preserve">A · STRATEGY ELEMENTS</t>
  </si>
  <si>
    <t xml:space="preserve">Element</t>
  </si>
  <si>
    <t xml:space="preserve">Detail</t>
  </si>
  <si>
    <t xml:space="preserve">Note</t>
  </si>
  <si>
    <t xml:space="preserve">Target segments</t>
  </si>
  <si>
    <t xml:space="preserve">Program managers (org owners) and comms/fundraising staff at NGOs, CSR teams and climate projects. Donors read shared reports but do not buy.</t>
  </si>
  <si>
    <t xml:space="preserve">See ICP &amp; Segmentation.</t>
  </si>
  <si>
    <t xml:space="preserve">Value proposition</t>
  </si>
  <si>
    <t xml:space="preserve">'Field evidence → AI insight → donor-ready reports'. Cut report and campaign drafting from hours to minutes, grounded in the org's own assets, with each org's data strictly isolated.</t>
  </si>
  <si>
    <t xml:space="preserve">Positioning</t>
  </si>
  <si>
    <t xml:space="preserve">'The report layer for organisations that already have field photos and video: turn a media library into cited, donor-ready evidence.' Do not position as capture; do not lead with 'AI tagging'.</t>
  </si>
  <si>
    <t xml:space="preserve">docs/COMPETITIVE-LANDSCAPE.md §3</t>
  </si>
  <si>
    <t xml:space="preserve">Needs testing with real buyers. Reason: Cloudinary's Plus plan already lists auto-tagging.</t>
  </si>
  <si>
    <t xml:space="preserve">Acquisition channels</t>
  </si>
  <si>
    <t xml:space="preserve">1) Content / SEO: donor-report, CSR-report and before/after templates. 2) Referrals from CSR implementation agencies and NGO capacity-building networks. 3) KoboToolbox / CommCare import connector as a partner listing (memo U12). 4) Public share links and the embeddable report widget as a viral loop (U8).</t>
  </si>
  <si>
    <t xml:space="preserve">—</t>
  </si>
  <si>
    <t xml:space="preserve">Proposed. Volume needed is in the funnel below (row 23). Test the channel mix in the first 90 days.</t>
  </si>
  <si>
    <t xml:space="preserve">Marketing approach</t>
  </si>
  <si>
    <t xml:space="preserve">Product-led: 14-day free trial plus report templates; one customer case study a month built from consented evidence; webinars with NGO networks ahead of annual-report and CSR-filing season (Apr–Jun, the first quarter of the Indian financial year).</t>
  </si>
  <si>
    <t xml:space="preserve">Sales channel</t>
  </si>
  <si>
    <t xml:space="preserve">Sales motion</t>
  </si>
  <si>
    <t xml:space="preserve">Support scales by tier: Email (Starter), Email + Chat (Pro), Dedicated + SLA (Enterprise). Whether Starter/Pro are self-serve and Enterprise is sales-led is an inference, not documented.</t>
  </si>
  <si>
    <t xml:space="preserve">IMPACTLENS PRICING MODEL.xlsx › D69:H69</t>
  </si>
  <si>
    <t xml:space="preserve">Confirm the motion before building the funnel.</t>
  </si>
  <si>
    <t xml:space="preserve">Distribution channel (product)</t>
  </si>
  <si>
    <t xml:space="preserve">A web application. Deployment target is undecided: Caddy on a VM, or a Vercel-style host. This affects headers, proxy trust and cron.</t>
  </si>
  <si>
    <t xml:space="preserve">PRD.md (repo root, outside docs/) §7</t>
  </si>
  <si>
    <t xml:space="preserve">Open question in the PRD.</t>
  </si>
  <si>
    <t xml:space="preserve">Delivery channels inside the product</t>
  </si>
  <si>
    <t xml:space="preserve">Scheduled reports by email, run-summary posts to Slack, public read-only share links, CSV export, print-to-PDF.</t>
  </si>
  <si>
    <t xml:space="preserve">PRD.md (repo root, outside docs/) §4 (F8, F10, F11)</t>
  </si>
  <si>
    <t xml:space="preserve">Partner / channel ideas</t>
  </si>
  <si>
    <t xml:space="preserve">Embeddable public report widget on partner sites (U8); import connectors from Fulcrum, CommCare and KoboToolbox instead of building capture (U12); WhatsApp delivery of scheduled reports (U13).</t>
  </si>
  <si>
    <t xml:space="preserve">docs/COMPETITIVE-LANDSCAPE.md §5</t>
  </si>
  <si>
    <t xml:space="preserve">Proposed, not decided. Connector APIs and terms not yet checked.</t>
  </si>
  <si>
    <t xml:space="preserve">Geographic strategy</t>
  </si>
  <si>
    <t xml:space="preserve">IMPACTLENS PRICING MODEL.xlsx › D7; docs/competitors.csv</t>
  </si>
  <si>
    <t xml:space="preserve">Resolves Open Items O-04 as a planning assumption; owner to confirm.</t>
  </si>
  <si>
    <t xml:space="preserve">Pricing as a GTM lever</t>
  </si>
  <si>
    <t xml:space="preserve">Tier fences: video analysis, semantic search, share links and campaign copy start at Pro; scheduled reports start at Enterprise. A 17% discount rewards annual billing.</t>
  </si>
  <si>
    <t xml:space="preserve">IMPACTLENS PRICING MODEL.xlsx › Tier Feature Overview</t>
  </si>
  <si>
    <t xml:space="preserve">See Pricing.</t>
  </si>
  <si>
    <t xml:space="preserve">Pre-conditions before selling to funder-facing / verification buyers</t>
  </si>
  <si>
    <t xml:space="preserve">Provenance hash + GPS (U1), enforced report citations (U2), and enforceable plan limits (U3).</t>
  </si>
  <si>
    <t xml:space="preserve">docs/COMPETITIVE-LANDSCAPE.md §5 (P0)</t>
  </si>
  <si>
    <t xml:space="preserve">A recommendation from the audit, not a decision.</t>
  </si>
  <si>
    <t xml:space="preserve">B · CUSTOMER JOURNEY AND CONVERSION STAGES  (volumes over 12 months, from Planning Inputs section 2)</t>
  </si>
  <si>
    <t xml:space="preserve">Stage</t>
  </si>
  <si>
    <t xml:space="preserve">What happens (documented product behaviour)</t>
  </si>
  <si>
    <t xml:space="preserve">Volume (12 months)</t>
  </si>
  <si>
    <t xml:space="preserve">Conversion to next stage</t>
  </si>
  <si>
    <t xml:space="preserve">Documented target / source</t>
  </si>
  <si>
    <t xml:space="preserve">1 · Awareness</t>
  </si>
  <si>
    <t xml:space="preserve">Content / SEO, partner referrals, connector listing and share links (row 10).</t>
  </si>
  <si>
    <t xml:space="preserve">2 · Sign-up</t>
  </si>
  <si>
    <t xml:space="preserve">Email + password sign-up. Creating an org, or joining an existing one with the owner's invite code (F1).</t>
  </si>
  <si>
    <t xml:space="preserve">PRD.md (repo root, outside docs/) §4 F1</t>
  </si>
  <si>
    <t xml:space="preserve">3 · First upload</t>
  </si>
  <si>
    <t xml:space="preserve">Upload up to 10 MB in the browser, add an external URL, or generate an image with AI (F2).</t>
  </si>
  <si>
    <t xml:space="preserve">PRD.md (repo root, outside docs/) §4 F2</t>
  </si>
  <si>
    <t xml:space="preserve">4 · First analysis</t>
  </si>
  <si>
    <t xml:space="preserve">AI captions, tags, signals, confidence, SDG mapping; video by frame sampling (F3).</t>
  </si>
  <si>
    <t xml:space="preserve">Target: under 30 s from upload to a searchable, tagged image (PRD.md (repo root, outside docs/) §6)</t>
  </si>
  <si>
    <t xml:space="preserve">5 · Value moment</t>
  </si>
  <si>
    <t xml:space="preserve">Search, filter, before/after comparison, project map / timeline / health score (F4–F7).</t>
  </si>
  <si>
    <t xml:space="preserve">Activated = at least one analysed asset and one generated report (proposed definition; KPI row 49).</t>
  </si>
  <si>
    <t xml:space="preserve">6 · Report or campaign</t>
  </si>
  <si>
    <t xml:space="preserve">Generate impact, summary, campaign or comparison reports; campaign copy per platform (F8, F9).</t>
  </si>
  <si>
    <t xml:space="preserve">Target: 100% of reports cite at least 3 real org assets (PRD.md (repo root, outside docs/) §6; enforcement is not built, memo U2)</t>
  </si>
  <si>
    <t xml:space="preserve">7 · Share or schedule</t>
  </si>
  <si>
    <t xml:space="preserve">Public read-only share link; scheduled email and Slack delivery (F10, F11).</t>
  </si>
  <si>
    <t xml:space="preserve">PRD.md (repo root, outside docs/) §4</t>
  </si>
  <si>
    <t xml:space="preserve">8 · Paid conversion / upgrade</t>
  </si>
  <si>
    <t xml:space="preserve">Proposed: 14-day opt-in free trial with Pro features (25 analyses, 2 credits), then self-serve checkout for Starter / Pro or a sales call for Enterprise.</t>
  </si>
  <si>
    <t xml:space="preserve">9 · Renewal and expansion</t>
  </si>
  <si>
    <t xml:space="preserve">Annual plans; Phase 2 repricing when SSO / RBAC / audit log / API ship.</t>
  </si>
  <si>
    <t xml:space="preserve">Row 31 volume = paying orgs still active at M12 (Revenue Model O48), so E30 is 12-month logo retention.</t>
  </si>
  <si>
    <t xml:space="preserve">Volumes are calculated from Planning Inputs section 2; change the sign-up or stage rates there.</t>
  </si>
  <si>
    <t xml:space="preserve">C · PHASING</t>
  </si>
  <si>
    <t xml:space="preserve">Phase</t>
  </si>
  <si>
    <t xml:space="preserve">What it means</t>
  </si>
  <si>
    <t xml:space="preserve">Trigger / gate</t>
  </si>
  <si>
    <t xml:space="preserve">Phase 1 (now)</t>
  </si>
  <si>
    <t xml:space="preserve">Phase 1 subscription prices (Starter / Pro / Enterprise). The PRD lists the product as built and hardening in progress.</t>
  </si>
  <si>
    <t xml:space="preserve">IMPACTLENS PRICING MODEL.xlsx; PRD.md (repo root, outside docs/) header</t>
  </si>
  <si>
    <t xml:space="preserve">Before funder-facing sales</t>
  </si>
  <si>
    <t xml:space="preserve">Provenance hash + GPS, enforced citations, enforceable plan limits (P0 in the memo).</t>
  </si>
  <si>
    <t xml:space="preserve">Recommendation; not scheduled.</t>
  </si>
  <si>
    <t xml:space="preserve">Phase 2</t>
  </si>
  <si>
    <t xml:space="preserve">SSO, RBAC, immutable audit log, public API, verifier workflow, BYOC storage, 99.9% uptime SLA; prices rise (see Pricing section 5).</t>
  </si>
  <si>
    <t xml:space="preserve">IMPACTLENS PRICING MODEL.xlsx › D71:D77</t>
  </si>
  <si>
    <t xml:space="preserve">D · KPIs  (documented targets first; proposed GTM metrics have NO targets in the docs)</t>
  </si>
  <si>
    <t xml:space="preserve">Definition</t>
  </si>
  <si>
    <t xml:space="preserve">Time from upload to a searchable, tagged asset.</t>
  </si>
  <si>
    <t xml:space="preserve">PRD.md (repo root, outside docs/) §6</t>
  </si>
  <si>
    <t xml:space="preserve">Reports citing real assets</t>
  </si>
  <si>
    <t xml:space="preserve">Share of generated reports that cite at least 3 real org assets.</t>
  </si>
  <si>
    <t xml:space="preserve">PRD.md (repo root, outside docs/) §6 (not measured or enforced today)</t>
  </si>
  <si>
    <t xml:space="preserve">Count found by the e2e scoping suite.</t>
  </si>
  <si>
    <t xml:space="preserve">Dashboard load</t>
  </si>
  <si>
    <t xml:space="preserve">Dashboard interactive time on the seeded database.</t>
  </si>
  <si>
    <t xml:space="preserve">Under 2 s</t>
  </si>
  <si>
    <t xml:space="preserve">PRD.md (repo root, outside docs/) §5</t>
  </si>
  <si>
    <t xml:space="preserve">Paying organisations</t>
  </si>
  <si>
    <t xml:space="preserve">Count of paying orgs; also the Phase 2 pricing trigger.</t>
  </si>
  <si>
    <t xml:space="preserve">50 (trigger)</t>
  </si>
  <si>
    <t xml:space="preserve">IMPACTLENS PRICING MODEL.xlsx › D72</t>
  </si>
  <si>
    <t xml:space="preserve">Gross margin by tier</t>
  </si>
  <si>
    <t xml:space="preserve">Gross profit ÷ price at the tier's cost floor.</t>
  </si>
  <si>
    <t xml:space="preserve">Pricing section 4</t>
  </si>
  <si>
    <t xml:space="preserve">Sign-up → first upload rate</t>
  </si>
  <si>
    <t xml:space="preserve">Share of new orgs that upload media.</t>
  </si>
  <si>
    <t xml:space="preserve">Target derived from Planning Inputs (not in the docs).</t>
  </si>
  <si>
    <t xml:space="preserve">Activation rate</t>
  </si>
  <si>
    <t xml:space="preserve">Share of orgs with at least one analysed asset and one generated report.</t>
  </si>
  <si>
    <t xml:space="preserve">Free/trial → paid conversion</t>
  </si>
  <si>
    <t xml:space="preserve">Depends on a trial or free tier existing (none documented).</t>
  </si>
  <si>
    <t xml:space="preserve">CAC and payback</t>
  </si>
  <si>
    <t xml:space="preserve">Cost to acquire a paying org and months to recover it.</t>
  </si>
  <si>
    <t xml:space="preserve">Logo churn and net revenue retention</t>
  </si>
  <si>
    <t xml:space="preserve">Share of orgs lost per period; revenue retained incl. upgrades.</t>
  </si>
  <si>
    <t xml:space="preserve">PRICING</t>
  </si>
  <si>
    <t xml:space="preserve">Source of truth: docs/IMPACTLENS PRICING MODEL.xlsx (sheet 'ImpactLens Pricing'). Blue = typed from a document · black = formula · green = linked from another sheet. Section 6 add-ons, overage, discounts and trial are planning assumptions from 'Planning Inputs'. All prices in INR; USD is indicative at the rate below.</t>
  </si>
  <si>
    <t xml:space="preserve">1 · GLOBAL INPUTS</t>
  </si>
  <si>
    <t xml:space="preserve">Input</t>
  </si>
  <si>
    <t xml:space="preserve">Value</t>
  </si>
  <si>
    <t xml:space="preserve">Documented: IMPACTLENS PRICING MODEL.xlsx › ImpactLens Pricing › D6</t>
  </si>
  <si>
    <t xml:space="preserve">Documented: IMPACTLENS PRICING MODEL.xlsx › D8 (marked editable). Date and source of the rate are not documented.</t>
  </si>
  <si>
    <t xml:space="preserve">Primary currency</t>
  </si>
  <si>
    <t xml:space="preserve">INR (₹); USD indicative</t>
  </si>
  <si>
    <t xml:space="preserve">Documented: IMPACTLENS PRICING MODEL.xlsx › D7. Target geography is not documented (see Open Items O-04).</t>
  </si>
  <si>
    <t xml:space="preserve">2 · TIERS AND PRICE  (per organisation per month; the workbook's COGS block is 'per org / month')</t>
  </si>
  <si>
    <t xml:space="preserve">Line</t>
  </si>
  <si>
    <t xml:space="preserve">Source / note</t>
  </si>
  <si>
    <t xml:space="preserve">Impact Evidence Maturity Level</t>
  </si>
  <si>
    <t xml:space="preserve">Mid</t>
  </si>
  <si>
    <t xml:space="preserve">High</t>
  </si>
  <si>
    <t xml:space="preserve">Criteria (proposed, closes Open Items O-11 as an assumption): Low = one programme, media in shared drives, no M&amp;E staff, ≤ 250 assets; Mid = several projects, regular reports to 1–5 funders, up to 5,000 assets; High = multiple programmes or orgs, funder verification or scheduled reporting, an M&amp;E function. Proposed from the tier limits (assumption).</t>
  </si>
  <si>
    <t xml:space="preserve">Target customer (as documented)</t>
  </si>
  <si>
    <t xml:space="preserve">Low-maturity programs</t>
  </si>
  <si>
    <t xml:space="preserve">Mid-maturity programs</t>
  </si>
  <si>
    <t xml:space="preserve">High-maturity programs</t>
  </si>
  <si>
    <t xml:space="preserve">Only the maturity label is documented; there is no firmographic definition (ICP sheet, section B).</t>
  </si>
  <si>
    <t xml:space="preserve">Price: annual plan (₹ / month)</t>
  </si>
  <si>
    <t xml:space="preserve">Documented: IMPACTLENS PRICING MODEL.xlsx › D31:F31 (marked star input; 'per-month charges billed annually').</t>
  </si>
  <si>
    <t xml:space="preserve">Price: annual plan (USD / month, indicative)</t>
  </si>
  <si>
    <t xml:space="preserve">Calculated: ₹ price ÷ USD→INR rate. Mirrors the source workbook's row 32.</t>
  </si>
  <si>
    <t xml:space="preserve">Price: monthly plan (₹ / month)</t>
  </si>
  <si>
    <t xml:space="preserve">Calculated with the source formula: annual price ÷ (1 − discount). Source: D11 and H34:J34.</t>
  </si>
  <si>
    <t xml:space="preserve">Billed per year: annual plan (₹)</t>
  </si>
  <si>
    <t xml:space="preserve">Calculated (× 12).</t>
  </si>
  <si>
    <t xml:space="preserve">Billed per year: monthly plan (₹)</t>
  </si>
  <si>
    <t xml:space="preserve">Saving from billing annually (₹ / year)</t>
  </si>
  <si>
    <t xml:space="preserve">Calculated. Source workbook row 40 (small differences are rounding of the monthly price).</t>
  </si>
  <si>
    <t xml:space="preserve">Effective annual discount</t>
  </si>
  <si>
    <t xml:space="preserve">Calculated: equals the input discount by construction (it is not independent evidence of price sensitivity).</t>
  </si>
  <si>
    <t xml:space="preserve">Billing frequency</t>
  </si>
  <si>
    <t xml:space="preserve">Annual (shown per month) or monthly</t>
  </si>
  <si>
    <t xml:space="preserve">Documented: IMPACTLENS PRICING MODEL.xlsx › D9:D10. The monthly plan is priced higher; there is no free tier or trial in the docs.</t>
  </si>
  <si>
    <t xml:space="preserve">Support</t>
  </si>
  <si>
    <t xml:space="preserve">Email</t>
  </si>
  <si>
    <t xml:space="preserve">Email + Chat</t>
  </si>
  <si>
    <t xml:space="preserve">Dedicated + SLA</t>
  </si>
  <si>
    <t xml:space="preserve">Documented: IMPACTLENS PRICING MODEL.xlsx › D69:H69. The SLA terms are not defined ('99.9% uptime SLA' appears only as a Phase 2 item).</t>
  </si>
  <si>
    <t xml:space="preserve">3 · WHAT EACH TIER INCLUDES  (usage limits and features)</t>
  </si>
  <si>
    <t xml:space="preserve">Feature / limit</t>
  </si>
  <si>
    <t xml:space="preserve">Organizations (multi-tenant)</t>
  </si>
  <si>
    <t xml:space="preserve">1</t>
  </si>
  <si>
    <t xml:space="preserve">Unlimited</t>
  </si>
  <si>
    <t xml:space="preserve">Documented: IMPACTLENS PRICING MODEL.xlsx › Tier Feature Overview.</t>
  </si>
  <si>
    <t xml:space="preserve">Team seats</t>
  </si>
  <si>
    <t xml:space="preserve">3</t>
  </si>
  <si>
    <t xml:space="preserve">10</t>
  </si>
  <si>
    <t xml:space="preserve">Media assets in library</t>
  </si>
  <si>
    <t xml:space="preserve">250</t>
  </si>
  <si>
    <t xml:space="preserve">5,000</t>
  </si>
  <si>
    <t xml:space="preserve">Documented: IMPACTLENS PRICING MODEL.xlsx › Tier Feature Overview. Limits are not enforced in the product today (memo U3).</t>
  </si>
  <si>
    <t xml:space="preserve">Video analysis (ffmpeg frame sampling)</t>
  </si>
  <si>
    <t xml:space="preserve">✔</t>
  </si>
  <si>
    <t xml:space="preserve">Before/after comparison + impact score</t>
  </si>
  <si>
    <t xml:space="preserve">5 / mo</t>
  </si>
  <si>
    <t xml:space="preserve">100 / mo</t>
  </si>
  <si>
    <t xml:space="preserve">Documented: IMPACTLENS PRICING MODEL.xlsx › Tier Feature Overview. Comparison cost is not in COGS (Open Items O-09).</t>
  </si>
  <si>
    <t xml:space="preserve">Semantic search (LLM-scored)</t>
  </si>
  <si>
    <t xml:space="preserve">Documented: IMPACTLENS PRICING MODEL.xlsx › Tier Feature Overview. Shown as a bare tick, but the COGS line assumes about 300 (Pro) and 1,000 (Enterprise) searches a month: see section 4.</t>
  </si>
  <si>
    <t xml:space="preserve">Saved searches</t>
  </si>
  <si>
    <t xml:space="preserve">Impact / summary reports (LLM)</t>
  </si>
  <si>
    <t xml:space="preserve">3 / mo</t>
  </si>
  <si>
    <t xml:space="preserve">30 / mo</t>
  </si>
  <si>
    <t xml:space="preserve">150 / mo</t>
  </si>
  <si>
    <t xml:space="preserve">Report variants (4 angles) + clone</t>
  </si>
  <si>
    <t xml:space="preserve">Campaign copy (IG / X / LinkedIn / newsletter)</t>
  </si>
  <si>
    <t xml:space="preserve">Documented: IMPACTLENS PRICING MODEL.xlsx › Tier Feature Overview. Cost not in COGS.</t>
  </si>
  <si>
    <t xml:space="preserve">Scheduled reports + email delivery (cron)</t>
  </si>
  <si>
    <t xml:space="preserve">Public share links (/share/[token])</t>
  </si>
  <si>
    <t xml:space="preserve">Project leaderboard + health score</t>
  </si>
  <si>
    <t xml:space="preserve">CSV export + bulk verify</t>
  </si>
  <si>
    <t xml:space="preserve">SSO / RBAC / audit log</t>
  </si>
  <si>
    <t xml:space="preserve">Documented: IMPACTLENS PRICING MODEL.xlsx › Tier Feature Overview. Listed on the Enterprise tier but not built (Open Items O-02).</t>
  </si>
  <si>
    <t xml:space="preserve">VLM analysis: images (per month)</t>
  </si>
  <si>
    <t xml:space="preserve">Documented: IMPACTLENS PRICING MODEL.xlsx › D55:H55. Linked to section 4.</t>
  </si>
  <si>
    <t xml:space="preserve">Cloudinary CDN credits included (per month)</t>
  </si>
  <si>
    <t xml:space="preserve">Documented: IMPACTLENS PRICING MODEL.xlsx › D66:H66. Linked to section 4.</t>
  </si>
  <si>
    <t xml:space="preserve">Add-ons, overage, trial and other discounts are proposed in section 6 (not in the source docs).</t>
  </si>
  <si>
    <t xml:space="preserve">4 · UNIT ECONOMICS  (cost floor if the tier's allowances are fully used)</t>
  </si>
  <si>
    <t xml:space="preserve">Cloudinary credits included / mo</t>
  </si>
  <si>
    <t xml:space="preserve">Documented: IMPACTLENS PRICING MODEL.xlsx › D18:F18.</t>
  </si>
  <si>
    <t xml:space="preserve">AI vision analyses included / mo</t>
  </si>
  <si>
    <t xml:space="preserve">Documented: IMPACTLENS PRICING MODEL.xlsx › D20:F20.</t>
  </si>
  <si>
    <t xml:space="preserve">Reports + semantic searches cost (₹ / mo)</t>
  </si>
  <si>
    <t xml:space="preserve">Documented: IMPACTLENS PRICING MODEL.xlsx › D22:F22. A typed number: the workbook gives no derivation.</t>
  </si>
  <si>
    <t xml:space="preserve">₹ per Cloudinary credit</t>
  </si>
  <si>
    <t xml:space="preserve">Documented assumption: IMPACTLENS PRICING MODEL.xlsx › D12 ('~₹34 per credit'). CONTRADICTED by Cloudinary's published price: see the alternative block below and Open Items O-01.</t>
  </si>
  <si>
    <t xml:space="preserve">₹ per AI vision analysis</t>
  </si>
  <si>
    <t xml:space="preserve">Assumption stated as such in the source: IMPACTLENS PRICING MODEL.xlsx › D13 ('AI cost basis (assumption)'). Not measured.</t>
  </si>
  <si>
    <t xml:space="preserve">Cloudinary cost (₹ / mo)</t>
  </si>
  <si>
    <t xml:space="preserve">Calculated: credits × ₹ per credit.</t>
  </si>
  <si>
    <t xml:space="preserve">AI analysis cost (₹ / mo)</t>
  </si>
  <si>
    <t xml:space="preserve">Calculated: analyses × ₹ per analysis.</t>
  </si>
  <si>
    <t xml:space="preserve">Total estimated COGS (₹ / mo)</t>
  </si>
  <si>
    <t xml:space="preserve">Calculated. Matches the source workbook's row 23. Excludes hosting, support, payment fees and tax (Open Items O-09).</t>
  </si>
  <si>
    <t xml:space="preserve">Gross profit (₹ / mo)</t>
  </si>
  <si>
    <t xml:space="preserve">Calculated: annual-plan price − COGS.</t>
  </si>
  <si>
    <t xml:space="preserve">Gross margin (as modelled)</t>
  </si>
  <si>
    <t xml:space="preserve">Calculated. Matches the source workbook's row 25.</t>
  </si>
  <si>
    <t xml:space="preserve">Alternative basis: Cloudinary's published price</t>
  </si>
  <si>
    <t xml:space="preserve">Cloudinary Plus, annual billing ($ / month)</t>
  </si>
  <si>
    <t xml:space="preserve">Documented: docs/competitors.csv › cloudinary row (https://cloudinary.com/pricing, verified 2026-09-29). Same $89 the source workbook cites.</t>
  </si>
  <si>
    <t xml:space="preserve">Credits included on Plus (per month)</t>
  </si>
  <si>
    <t xml:space="preserve">Documented: same source ('225 credits').</t>
  </si>
  <si>
    <t xml:space="preserve">Implied ₹ per credit</t>
  </si>
  <si>
    <t xml:space="preserve">Calculated at the workbook's own FX rate. Higher than the ₹34 used in the model.</t>
  </si>
  <si>
    <t xml:space="preserve">COGS at the published credit price (₹ / mo)</t>
  </si>
  <si>
    <t xml:space="preserve">Calculated: same as the model with credits priced at the implied rate.</t>
  </si>
  <si>
    <t xml:space="preserve">Gross margin at the published credit price</t>
  </si>
  <si>
    <t xml:space="preserve">Calculated. A sensitivity, not a replacement for the model's assumption.</t>
  </si>
  <si>
    <t xml:space="preserve">Frames sent per video</t>
  </si>
  <si>
    <t xml:space="preserve">Documented: docs/IMPACTLENS PRICING MODEL.xlsx › 'Cost Inputs'!C29 (code cap in videoFramesAsParts).</t>
  </si>
  <si>
    <t xml:space="preserve">COGS if every analysis is a video (₹ / mo)</t>
  </si>
  <si>
    <t xml:space="preserve">Calculated upper bound (Starter has no video, so unchanged). The allowance does not say whether a video is one unit or up to six (Open Items O-06).</t>
  </si>
  <si>
    <t xml:space="preserve">Calculated. Negative means the tier loses money if its analysis allowance is used on video.</t>
  </si>
  <si>
    <t xml:space="preserve">5 · PHASE 2 PRICE TRAJECTORY  (documented; not yet in effect)</t>
  </si>
  <si>
    <t xml:space="preserve">Phase 1 price (₹ / month)</t>
  </si>
  <si>
    <t xml:space="preserve">Linked from section 2.</t>
  </si>
  <si>
    <t xml:space="preserve">Phase 2 price: low (₹ / month)</t>
  </si>
  <si>
    <t xml:space="preserve">Documented: IMPACTLENS PRICING MODEL.xlsx › D74:D76.</t>
  </si>
  <si>
    <t xml:space="preserve">Phase 2 price: high (₹ / month)</t>
  </si>
  <si>
    <t xml:space="preserve">Uplift vs Phase 1: low</t>
  </si>
  <si>
    <t xml:space="preserve">Calculated.</t>
  </si>
  <si>
    <t xml:space="preserve">Uplift vs Phase 1: high</t>
  </si>
  <si>
    <t xml:space="preserve">What is added (documented)</t>
  </si>
  <si>
    <t xml:space="preserve">Public API + 500 analyses / mo</t>
  </si>
  <si>
    <t xml:space="preserve">SSO + audit trail + unlimited semantic search</t>
  </si>
  <si>
    <t xml:space="preserve">Multi-funder dashboards + verifier sign-off + 99.9% SLA</t>
  </si>
  <si>
    <t xml:space="preserve">Documented: IMPACTLENS PRICING MODEL.xlsx › D74:D76. Rationale (D77): verification workflow, SSO/RBAC, immutable audit log, public API, BYOC storage, 99.9% uptime SLA.</t>
  </si>
  <si>
    <t xml:space="preserve">Trigger for Phase 2 pricing</t>
  </si>
  <si>
    <t xml:space="preserve">50 paying orgs + public API pilot + funder-verification pilots closed</t>
  </si>
  <si>
    <t xml:space="preserve">Documented: IMPACTLENS PRICING MODEL.xlsx › D72. Whether existing customers are grandfathered is not documented (Open Items O-12).</t>
  </si>
  <si>
    <t xml:space="preserve">6 · DISCOUNTS, ADD-ONS, UPSELL  AND PRICING ASSUMPTIONS</t>
  </si>
  <si>
    <t xml:space="preserve">Detail / source</t>
  </si>
  <si>
    <t xml:space="preserve">Annual-billing discount</t>
  </si>
  <si>
    <t xml:space="preserve">17% (annual plan is the base price; the monthly plan is the marked-up price).</t>
  </si>
  <si>
    <t xml:space="preserve">Other discounts (nonprofit, volume, multi-year, launch)</t>
  </si>
  <si>
    <t xml:space="preserve">Add-ons (extra credits, analyses, seats, storage)</t>
  </si>
  <si>
    <t xml:space="preserve">Overage pricing</t>
  </si>
  <si>
    <t xml:space="preserve">Soft limit: past 100% of an allowance, extra use bills at the add-on prices above; after 3 months over, prompt an upgrade. Must be built before limits are enforced (memo U3).</t>
  </si>
  <si>
    <t xml:space="preserve">Free tier / trial</t>
  </si>
  <si>
    <t xml:space="preserve">Upsell path: Starter → Pro</t>
  </si>
  <si>
    <t xml:space="preserve">Feature fences: video analysis, semantic search, report variants, campaign copy, share links, leaderboard and CSV export start at Pro; limits rise (assets 250 → 5,000, comparisons 5 → 100).</t>
  </si>
  <si>
    <t xml:space="preserve">Upsell path: Pro → Enterprise</t>
  </si>
  <si>
    <t xml:space="preserve">Scheduled reports + email delivery, unlimited orgs / seats / assets / comparisons, 150 reports / mo, dedicated support.</t>
  </si>
  <si>
    <t xml:space="preserve">Expansion at Phase 2</t>
  </si>
  <si>
    <t xml:space="preserve">Prices rise 33%–67% (section 5) when SSO, RBAC, audit log, public API and verifier workflow ship.</t>
  </si>
  <si>
    <t xml:space="preserve">Bring-your-own-key (BYOK) pricing lever</t>
  </si>
  <si>
    <t xml:space="preserve">Proposed, not decided: docs/COMPETITIVE-LANDSCAPE.md › U11. ImpactDraft offers 25% off for customers using their own key (verified 2026-09-29).</t>
  </si>
  <si>
    <t xml:space="preserve">Price validation with customers</t>
  </si>
  <si>
    <t xml:space="preserve">No customer conversation recorded yet. Plan: 10 buyer interviews with Van Westendorp price questions before Phase 2; until then the documented Phase 1 prices stand.</t>
  </si>
  <si>
    <t xml:space="preserve">REVENUE MODEL</t>
  </si>
  <si>
    <t xml:space="preserve">Sections A and B are exact arithmetic on documented prices. Section C is a 12-month scenario driven entirely by 'Planning Inputs' (labelled assumptions and benchmarks, not documented facts). Sections D and E derive CAC, retention, costs outside COGS and market size from the same inputs.</t>
  </si>
  <si>
    <t xml:space="preserve">A · PER-CUSTOMER ECONOMICS  (annual-plan price, cost floor at full allowance use)</t>
  </si>
  <si>
    <t xml:space="preserve">Per organisation</t>
  </si>
  <si>
    <t xml:space="preserve">MRR per customer (₹)</t>
  </si>
  <si>
    <t xml:space="preserve">ARR per customer (₹)</t>
  </si>
  <si>
    <t xml:space="preserve">COGS per customer (₹ / mo)</t>
  </si>
  <si>
    <t xml:space="preserve">Gross profit per customer (₹ / mo)</t>
  </si>
  <si>
    <t xml:space="preserve">Gross margin</t>
  </si>
  <si>
    <t xml:space="preserve">MRR per customer if on the monthly plan (₹)</t>
  </si>
  <si>
    <t xml:space="preserve">MRR per customer (USD, indicative)</t>
  </si>
  <si>
    <t xml:space="preserve">COGS assumes every allowance is fully used (a cost floor for a heavy user), so margins here are conservative for light users and ignore hosting, support, payment fees, tax and the uncosted features (Open Items O-09).</t>
  </si>
  <si>
    <t xml:space="preserve">B · SCALE ARITHMETIC  (N organisations on ONE tier; illustrative multiplication, not a forecast)</t>
  </si>
  <si>
    <t xml:space="preserve">N organisations</t>
  </si>
  <si>
    <t xml:space="preserve">N = 50 is the documented Phase 2 trigger (IMPACTLENS PRICING MODEL.xlsx › D72). 1 and 10 are scale points, not targets.</t>
  </si>
  <si>
    <t xml:space="preserve">MRR (₹) if all N are on…</t>
  </si>
  <si>
    <t xml:space="preserve">N = 1</t>
  </si>
  <si>
    <t xml:space="preserve">N = 10</t>
  </si>
  <si>
    <t xml:space="preserve">N = 50</t>
  </si>
  <si>
    <t xml:space="preserve">ARR (₹) if all N are on…</t>
  </si>
  <si>
    <t xml:space="preserve">Gross profit / month (₹) if all N are on…</t>
  </si>
  <si>
    <t xml:space="preserve">C · SCENARIO  (12 months; annual-plan prices; inputs linked from 'Planning Inputs')</t>
  </si>
  <si>
    <t xml:space="preserve">Monthly churn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</si>
  <si>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</si>
  <si>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</si>
  <si>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</si>
  <si>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</si>
  <si>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</si>
  <si>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</si>
  <si>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</si>
  <si>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</si>
  <si>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</si>
  <si>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</si>
  <si>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</si>
  <si>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</si>
  <si>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INPUTS</t>
  </si>
  <si>
    <t xml:space="preserve">New customers: Starter</t>
  </si>
  <si>
    <t xml:space="preserve">New customers: Pro</t>
  </si>
  <si>
    <t xml:space="preserve">New customers: Enterprise</t>
  </si>
  <si>
    <t xml:space="preserve">Upgrades: Starter → Pro (customers)</t>
  </si>
  <si>
    <t xml:space="preserve">Upgrades: Pro → Enterprise (customers)</t>
  </si>
  <si>
    <t xml:space="preserve">Monthly churn by tier</t>
  </si>
  <si>
    <t xml:space="preserve">Linked from Planning Inputs section 4 (benchmark ranges in the note).</t>
  </si>
  <si>
    <t xml:space="preserve">Monthly churn: Starter</t>
  </si>
  <si>
    <t xml:space="preserve">Planning Inputs: SMB SaaS benchmark 3–7% a month.</t>
  </si>
  <si>
    <t xml:space="preserve">Monthly churn: Pro</t>
  </si>
  <si>
    <t xml:space="preserve">Planning Inputs: Mid-market benchmark 0.5–1.5% a month.</t>
  </si>
  <si>
    <t xml:space="preserve">Monthly churn: Enterprise</t>
  </si>
  <si>
    <t xml:space="preserve">Planning Inputs: Enterprise benchmark &lt; 0.5–0.7% a month.</t>
  </si>
  <si>
    <t xml:space="preserve">OUTPUTS</t>
  </si>
  <si>
    <t xml:space="preserve">Customers (end): Starter</t>
  </si>
  <si>
    <t xml:space="preserve">Customers (end): Pro</t>
  </si>
  <si>
    <t xml:space="preserve">Customers (end): Enterprise</t>
  </si>
  <si>
    <t xml:space="preserve">Customers (end): total</t>
  </si>
  <si>
    <t xml:space="preserve">MRR: Starter (₹)</t>
  </si>
  <si>
    <t xml:space="preserve">MRR: Pro (₹)</t>
  </si>
  <si>
    <t xml:space="preserve">MRR: Enterprise (₹)</t>
  </si>
  <si>
    <t xml:space="preserve">MRR: total (₹)</t>
  </si>
  <si>
    <t xml:space="preserve">ARR run-rate (₹) = MRR × 12</t>
  </si>
  <si>
    <t xml:space="preserve">Expansion MRR from upgrades (₹)</t>
  </si>
  <si>
    <t xml:space="preserve">Gross profit (₹ / month)</t>
  </si>
  <si>
    <t xml:space="preserve">Blended gross margin</t>
  </si>
  <si>
    <t xml:space="preserve">Still not modelled: sales-cycle length, seasonality, Phase 2 repricing of existing customers (Open Items O-12), the monthly-plan share of customers. GST is collected on top of price, so it is not a cost here.</t>
  </si>
  <si>
    <t xml:space="preserve">D · UNIT ECONOMICS, CAC AND RETENTION  (per organisation)</t>
  </si>
  <si>
    <t xml:space="preserve">Monthly logo churn</t>
  </si>
  <si>
    <t xml:space="preserve">Annual logo churn</t>
  </si>
  <si>
    <t xml:space="preserve">Expected lifetime (months)</t>
  </si>
  <si>
    <t xml:space="preserve">Lifetime gross profit, LTV (₹)</t>
  </si>
  <si>
    <t xml:space="preserve">Target CAC payback (months)</t>
  </si>
  <si>
    <t xml:space="preserve">Max CAC at that payback (₹)</t>
  </si>
  <si>
    <t xml:space="preserve">LTV : CAC</t>
  </si>
  <si>
    <t xml:space="preserve">Payment-gateway fee incl. GST on fee (₹ / mo)</t>
  </si>
  <si>
    <t xml:space="preserve">Support cost (₹ / mo)</t>
  </si>
  <si>
    <t xml:space="preserve">Contribution after fees and support (₹ / mo)</t>
  </si>
  <si>
    <t xml:space="preserve">Contribution margin</t>
  </si>
  <si>
    <t xml:space="preserve">Scenario KPIs by month</t>
  </si>
  <si>
    <t xml:space="preserve">Churned MRR (₹)</t>
  </si>
  <si>
    <t xml:space="preserve">Net revenue retention (month on month)</t>
  </si>
  <si>
    <t xml:space="preserve">New paying orgs</t>
  </si>
  <si>
    <t xml:space="preserve">Acquisition spend at max CAC (₹)</t>
  </si>
  <si>
    <t xml:space="preserve">Hosting (₹)</t>
  </si>
  <si>
    <t xml:space="preserve">Gateway fees + support (₹)</t>
  </si>
  <si>
    <t xml:space="preserve">Operating contribution (₹)</t>
  </si>
  <si>
    <t xml:space="preserve">Cumulative operating contribution (₹)</t>
  </si>
  <si>
    <t xml:space="preserve">Scenario summary</t>
  </si>
  <si>
    <t xml:space="preserve">Paying orgs at M12</t>
  </si>
  <si>
    <t xml:space="preserve">ARR run-rate at M12 (₹)</t>
  </si>
  <si>
    <t xml:space="preserve">12-month net revenue retention</t>
  </si>
  <si>
    <t xml:space="preserve">Blended CAC over 12 months (₹)</t>
  </si>
  <si>
    <t xml:space="preserve">Sign-up → paid conversion</t>
  </si>
  <si>
    <t xml:space="preserve">Month the 50-org Phase 2 trigger is reached</t>
  </si>
  <si>
    <t xml:space="preserve">Date of that month</t>
  </si>
  <si>
    <t xml:space="preserve">Break-even month (operating contribution ≥ 0)</t>
  </si>
  <si>
    <t xml:space="preserve">Spend is the CAC ceiling, not a budget: at max CAC the scenario does not break even in year 1.</t>
  </si>
  <si>
    <t xml:space="preserve">E · MARKET SIZE  (India, bottom-up; ₹ crore = ₹ 10,000,000)</t>
  </si>
  <si>
    <t xml:space="preserve">Level</t>
  </si>
  <si>
    <t xml:space="preserve">Orgs</t>
  </si>
  <si>
    <t xml:space="preserve">₹ crore / yr</t>
  </si>
  <si>
    <t xml:space="preserve">Basis</t>
  </si>
  <si>
    <t xml:space="preserve">Blended annual price per org, ARPA (₹)</t>
  </si>
  <si>
    <t xml:space="preserve">New-customer mix × annual-plan ARR.</t>
  </si>
  <si>
    <t xml:space="preserve">TAM: FCRA NGOs + CSR-spending companies</t>
  </si>
  <si>
    <t xml:space="preserve">Every org in India with a formal duty to evidence funded work.</t>
  </si>
  <si>
    <t xml:space="preserve">SAM: reachable with a media-evidence product</t>
  </si>
  <si>
    <t xml:space="preserve">TAM × Planning Inputs share.</t>
  </si>
  <si>
    <t xml:space="preserve">SOM: won within 3 years</t>
  </si>
  <si>
    <t xml:space="preserve">SAM × Planning Inputs share.</t>
  </si>
  <si>
    <t xml:space="preserve">COMPETITIVE POSITIONING</t>
  </si>
  <si>
    <t xml:space="preserve">Source: docs/competitors.csv and docs/COMPETITIVE-LANDSCAPE.md (verified 2026-09-29); the seven rows previously unverified were re-researched on 2026-09-30 through a search tool (Medium confidence unless the pricing page itself was read). 'Not stated on the page read' is NOT evidence of absence. Quote-only prices are shown in text, not in the USD column.</t>
  </si>
  <si>
    <t xml:space="preserve">ImpactLens reference (linked from Pricing)</t>
  </si>
  <si>
    <t xml:space="preserve">Pro tier price (USD / month)</t>
  </si>
  <si>
    <t xml:space="preserve">Competitor</t>
  </si>
  <si>
    <t xml:space="preserve">Role</t>
  </si>
  <si>
    <t xml:space="preserve">Pricing (public, as documented)</t>
  </si>
  <si>
    <t xml:space="preserve">USD / mo (lowest paid, monthly equiv.)</t>
  </si>
  <si>
    <t xml:space="preserve">× ImpactLens Pro price</t>
  </si>
  <si>
    <t xml:space="preserve">Product positioning</t>
  </si>
  <si>
    <t xml:space="preserve">Key strengths (stated on source)</t>
  </si>
  <si>
    <t xml:space="preserve">Relevant gaps (evidence-limited)</t>
  </si>
  <si>
    <t xml:space="preserve">Our differentiation</t>
  </si>
  <si>
    <t xml:space="preserve">Last verified</t>
  </si>
  <si>
    <t xml:space="preserve">Source URL</t>
  </si>
  <si>
    <t xml:space="preserve">Fulcrum</t>
  </si>
  <si>
    <t xml:space="preserve">capture-verify</t>
  </si>
  <si>
    <t xml:space="preserve">Field teams (segments not stated on pricing page)</t>
  </si>
  <si>
    <t xml:space="preserve">Professional $43/user/mo; Elite $55/user/mo; Enterprise custom; min 5 users</t>
  </si>
  <si>
    <t xml:space="preserve">Mobile field data capture with photos, video, audio, GPS</t>
  </si>
  <si>
    <t xml:space="preserve">capture with geotag / timestamp; offline capture</t>
  </si>
  <si>
    <t xml:space="preserve">Not stated on the page read: photo/video AI (not proof of absence).</t>
  </si>
  <si>
    <t xml:space="preserve">ImpactLens does not capture media; it analyses and reports on it. This competitor is stronger on proof of capture. Possible import partner (hypothesis, memo U12).</t>
  </si>
  <si>
    <t xml:space="preserve">2026-09-29</t>
  </si>
  <si>
    <t xml:space="preserve">https://www.fulcrumapp.com/pricing</t>
  </si>
  <si>
    <t xml:space="preserve">CommCare (Dimagi)</t>
  </si>
  <si>
    <t xml:space="preserve">NGOs, governments, social enterprises, donors and foundations, researchers</t>
  </si>
  <si>
    <t xml:space="preserve">Standard $100/mo; Pro $500/mo; Advanced $1,000/mo; Enterprise $4,000+/mo</t>
  </si>
  <si>
    <t xml:space="preserve">Mobile data collection and case management</t>
  </si>
  <si>
    <t xml:space="preserve">None stated on the page read</t>
  </si>
  <si>
    <t xml:space="preserve">https://commcare.dimagi.com/pricing/</t>
  </si>
  <si>
    <t xml:space="preserve">Sealr (UNDP Digital X)</t>
  </si>
  <si>
    <t xml:space="preserve">UN and government agencies in humanitarian response; field staff, partners, affected communities</t>
  </si>
  <si>
    <t xml:space="preserve">not stated</t>
  </si>
  <si>
    <t xml:space="preserve">Timestamped, geolocated, AI-verified and blockchain-secured photo/video capture on a map dashboard</t>
  </si>
  <si>
    <t xml:space="preserve">capture with geotag / timestamp</t>
  </si>
  <si>
    <t xml:space="preserve">Page (© 2022) does not explain what the 'AI-verified' step does; product status unknown.</t>
  </si>
  <si>
    <t xml:space="preserve">https://digitalx.undp.org/catalogs/sealr.html</t>
  </si>
  <si>
    <t xml:space="preserve">Tella</t>
  </si>
  <si>
    <t xml:space="preserve">Activists, journalists, human-rights defenders</t>
  </si>
  <si>
    <t xml:space="preserve">Free forever (vendor statement)</t>
  </si>
  <si>
    <t xml:space="preserve">Free</t>
  </si>
  <si>
    <t xml:space="preserve">Encrypted offline-first photo/video/audio capture</t>
  </si>
  <si>
    <t xml:space="preserve">offline capture</t>
  </si>
  <si>
    <t xml:space="preserve">https://tella.app</t>
  </si>
  <si>
    <t xml:space="preserve">BNZ Impact</t>
  </si>
  <si>
    <t xml:space="preserve">Corporates and CSR teams, NGOs, foundations, restoration developers, sustainability teams</t>
  </si>
  <si>
    <t xml:space="preserve">No pricing on page</t>
  </si>
  <si>
    <t xml:space="preserve">Baseline capture, geo-tagged photos, satellite verification, exportable evidence packs</t>
  </si>
  <si>
    <t xml:space="preserve">https://bnzgreen.io/impact</t>
  </si>
  <si>
    <t xml:space="preserve">KoboToolbox</t>
  </si>
  <si>
    <t xml:space="preserve">Humanitarian and development field data collection</t>
  </si>
  <si>
    <t xml:space="preserve">Community free (5,000 submissions / mo); Professional $159/mo ($129 billed annually); Teams $289/mo ($249 annually)</t>
  </si>
  <si>
    <t xml:space="preserve">Survey/form data collection</t>
  </si>
  <si>
    <t xml:space="preserve">Offline form capture with GPS, photo, audio and video questions; free Community plan</t>
  </si>
  <si>
    <t xml:space="preserve">Media is stored as form attachments; no photo / video AI or report drafting stated (not proof of absence).</t>
  </si>
  <si>
    <t xml:space="preserve">Import partner, not a rival: ImpactLens analyses the photos Kobo collects (memo U12). Chauka already imports from Kobo, which shows the connector pattern works.</t>
  </si>
  <si>
    <t xml:space="preserve">2026-09-30</t>
  </si>
  <si>
    <t xml:space="preserve">https://www.kobotoolbox.org/pricing/</t>
  </si>
  <si>
    <t xml:space="preserve">Sopact</t>
  </si>
  <si>
    <t xml:space="preserve">report-ai</t>
  </si>
  <si>
    <t xml:space="preserve">Nonprofits, foundations, social enterprises, mission-driven organisations</t>
  </si>
  <si>
    <t xml:space="preserve">Power $299/mo (2 users, 500 AI analyses/yr, 1,500 responses); Growth $799/mo (3 users, 2,000 analyses/yr); Enterprise custom; setup from $200/hr, 10-hour minimum</t>
  </si>
  <si>
    <t xml:space="preserve">AI analysis of forms, files and feedback into funder-aligned reports</t>
  </si>
  <si>
    <t xml:space="preserve">reports / evidence packs</t>
  </si>
  <si>
    <t xml:space="preserve">Not stated on the page read: photo/video AI (not proof of absence). Home page describes forms, files and feedback; no photo analysis stated.</t>
  </si>
  <si>
    <t xml:space="preserve">ImpactLens grounds reports in analysed media evidence and lists the source assets; this competitor's evidence base is text or forms, as stated on its page. Hypothesis: buyers will pay more for media-grounded evidence.</t>
  </si>
  <si>
    <t xml:space="preserve">https://sopact.com</t>
  </si>
  <si>
    <t xml:space="preserve">ReportsAI</t>
  </si>
  <si>
    <t xml:space="preserve">Grassroots NGOs to multinational enterprises</t>
  </si>
  <si>
    <t xml:space="preserve">No pricing on home page; /pricing returned 404</t>
  </si>
  <si>
    <t xml:space="preserve">AI reporting against SDGs, IRIS+, GRI, ESG with offline multilingual data capture</t>
  </si>
  <si>
    <t xml:space="preserve">SDG / IRIS+ / GRI alignment; offline capture</t>
  </si>
  <si>
    <t xml:space="preserve">https://reports-ai.app</t>
  </si>
  <si>
    <t xml:space="preserve">ImpactDraft</t>
  </si>
  <si>
    <t xml:space="preserve">Small local NGOs to international organisations</t>
  </si>
  <si>
    <t xml:space="preserve">Free demo (3 reports); Basic $9/mo (30 reports); Pro $19/mo (100 reports); Enterprise $49/mo (unlimited)</t>
  </si>
  <si>
    <t xml:space="preserve">Donor report generator (7 report types, 5 languages)</t>
  </si>
  <si>
    <t xml:space="preserve">Not stated on the page read: photo/video AI (not proof of absence). Text only; no media evidence stated.</t>
  </si>
  <si>
    <t xml:space="preserve">https://impactdraft.org</t>
  </si>
  <si>
    <t xml:space="preserve">engage by Kindsight</t>
  </si>
  <si>
    <t xml:space="preserve">Nonprofits: education, healthcare, arts, community foundations, faith-based</t>
  </si>
  <si>
    <t xml:space="preserve">AI donor communications and grant-proposal drafting</t>
  </si>
  <si>
    <t xml:space="preserve">AI donor copy</t>
  </si>
  <si>
    <t xml:space="preserve">https://kindsight.io/engage</t>
  </si>
  <si>
    <t xml:space="preserve">DevResults</t>
  </si>
  <si>
    <t xml:space="preserve">me-suite</t>
  </si>
  <si>
    <t xml:space="preserve">Global development organisations managing funded programs</t>
  </si>
  <si>
    <t xml:space="preserve">Setup $33,800 (&lt;=$5M program) to $103,400 (&lt;=$100M); annual $28,000 (&lt;=$5M), $49,000 (&lt;=$25M), $70,000 (&lt;=$50M); training $5,000-$15,000; unlimited users and storage</t>
  </si>
  <si>
    <t xml:space="preserve">Monitoring and evaluation software</t>
  </si>
  <si>
    <t xml:space="preserve">Different job (program-level M&amp;E) and a different budget. Far cheaper than ImpactLens Enterprise (see ratio) but ImpactLens offers no indicator / logframe management. Hypothesis: competes for the same reporting budget.</t>
  </si>
  <si>
    <t xml:space="preserve">https://www.devresults.com/pricing</t>
  </si>
  <si>
    <t xml:space="preserve">Chauka</t>
  </si>
  <si>
    <t xml:space="preserve">Development organisations that plan with logical frameworks</t>
  </si>
  <si>
    <t xml:space="preserve">Open source; no public price found</t>
  </si>
  <si>
    <t xml:space="preserve">Open-source M&amp;E / logframe (prior doc)</t>
  </si>
  <si>
    <t xml:space="preserve">Logframe design, indicator targets and actuals, budget lines, KoboToolbox and Google Sheets import, quarterly donor reports</t>
  </si>
  <si>
    <t xml:space="preserve">No photo / video evidence handling stated (not proof of absence).</t>
  </si>
  <si>
    <t xml:space="preserve">Different job (programme-level M&amp;E / logframes) and a different budget; ImpactLens offers no indicator management. Complementary: its analysed media could feed their indicators.</t>
  </si>
  <si>
    <t xml:space="preserve">https://chauka.org</t>
  </si>
  <si>
    <t xml:space="preserve">MONIC</t>
  </si>
  <si>
    <t xml:space="preserve">Researchers, nonprofits, government agencies</t>
  </si>
  <si>
    <t xml:space="preserve">Open source (AGPL-3.0); no public price</t>
  </si>
  <si>
    <t xml:space="preserve">Open-source M&amp;E (prior doc)</t>
  </si>
  <si>
    <t xml:space="preserve">KPI tracking, theory-of-change builder, logframes, surveys with optional ChatGPT analysis, document repository</t>
  </si>
  <si>
    <t xml:space="preserve">No photo / video AI stated (not proof of absence).</t>
  </si>
  <si>
    <t xml:space="preserve">https://www.monic.tech/</t>
  </si>
  <si>
    <t xml:space="preserve">MEInsight</t>
  </si>
  <si>
    <t xml:space="preserve">unknown</t>
  </si>
  <si>
    <t xml:space="preserve">Not public</t>
  </si>
  <si>
    <t xml:space="preserve">Open-source M&amp;E / logframe</t>
  </si>
  <si>
    <t xml:space="preserve">Last commit 2023-11-08: dormant.</t>
  </si>
  <si>
    <t xml:space="preserve">https://github.com/edc-it/MEInsight</t>
  </si>
  <si>
    <t xml:space="preserve">Uwazi (HURIDOCS)</t>
  </si>
  <si>
    <t xml:space="preserve">Human-rights documentation</t>
  </si>
  <si>
    <t xml:space="preserve">Evidence document collections with search</t>
  </si>
  <si>
    <t xml:space="preserve">https://github.com/HURIDOCS/uwazi</t>
  </si>
  <si>
    <t xml:space="preserve">Amp Impact (Vera Solutions)</t>
  </si>
  <si>
    <t xml:space="preserve">Salesforce-based nonprofits (prior doc)</t>
  </si>
  <si>
    <t xml:space="preserve">From $7,000 / year; nonprofit discounts; custom quotes (Capterra listing)</t>
  </si>
  <si>
    <t xml:space="preserve">Salesforce-packaged impact measurement (prior doc)</t>
  </si>
  <si>
    <t xml:space="preserve">Native Salesforce app: grant and portfolio management, indicator tracking, work planning; 17,000+ users in 150+ countries</t>
  </si>
  <si>
    <t xml:space="preserve">Requires Salesforce; no media AI stated (not proof of absence).</t>
  </si>
  <si>
    <t xml:space="preserve">Different job and budget (Salesforce M&amp;E, ≈ 7× ImpactLens Pro). ImpactLens is lighter and media-first; no CRM needed.</t>
  </si>
  <si>
    <t xml:space="preserve">https://www.verasolutions.org/ampimpact/</t>
  </si>
  <si>
    <t xml:space="preserve">Watershed</t>
  </si>
  <si>
    <t xml:space="preserve">esg-suite</t>
  </si>
  <si>
    <t xml:space="preserve">Enterprise ESG and carbon disclosure</t>
  </si>
  <si>
    <t xml:space="preserve">Custom quote only; third-party estimates $50k–$250k+ / year, median ≈ $70k (Vendr)</t>
  </si>
  <si>
    <t xml:space="preserve">Carbon/ESG reporting (prior doc)</t>
  </si>
  <si>
    <t xml:space="preserve">Enterprise carbon accounting (Scope 1–3) and disclosure reporting</t>
  </si>
  <si>
    <t xml:space="preserve">Carbon and financial data, not field media.</t>
  </si>
  <si>
    <t xml:space="preserve">Different buyer and job (corporate carbon disclosure). Overlaps only with S3 CSR teams' reporting budget; candidate to drop from the landscape.</t>
  </si>
  <si>
    <t xml:space="preserve">https://watershed.com</t>
  </si>
  <si>
    <t xml:space="preserve">Persefoni</t>
  </si>
  <si>
    <t xml:space="preserve">Pro: free (single user); Advanced: custom quote</t>
  </si>
  <si>
    <t xml:space="preserve">Scope 1–3 (all 15 categories), report builder for CSRD / ISSB / CDP, AI copilot; SSO and SOC 2 on Advanced</t>
  </si>
  <si>
    <t xml:space="preserve">Carbon data, not field media.</t>
  </si>
  <si>
    <t xml:space="preserve">https://www.persefoni.com/pricing</t>
  </si>
  <si>
    <t xml:space="preserve">Sweep</t>
  </si>
  <si>
    <t xml:space="preserve">No public price; Starter and Pro tiers by quote (third-party listing)</t>
  </si>
  <si>
    <t xml:space="preserve">Carbon management, supplier data collection, CSRD reporting</t>
  </si>
  <si>
    <t xml:space="preserve">https://www.sweep.net</t>
  </si>
  <si>
    <t xml:space="preserve">Ecodrive ImpactIQ</t>
  </si>
  <si>
    <t xml:space="preserve">marketplace</t>
  </si>
  <si>
    <t xml:space="preserve">Nonprofits selling verified impact to corporate partners; corporate buyers</t>
  </si>
  <si>
    <t xml:space="preserve">Projects from $0.45 per unit; Enterprise from a $50k annual impact commitment</t>
  </si>
  <si>
    <t xml:space="preserve">Donor portals and dashboards showing timestamps, geo-coordinates and photos of each partner's contribution</t>
  </si>
  <si>
    <t xml:space="preserve">capture with geotag / timestamp; SDG / IRIS+ / GRI alignment</t>
  </si>
  <si>
    <t xml:space="preserve">Not stated on the page read: photo/video AI, baseline / before-after (not proof of absence). Page describes a corporate-donation marketplace, not a media library.</t>
  </si>
  <si>
    <t xml:space="preserve">Different model: sells verified impact units to corporate buyers. Not comparable on price.</t>
  </si>
  <si>
    <t xml:space="preserve">https://www.ecodrive.community/impactiq</t>
  </si>
  <si>
    <t xml:space="preserve">Cloudinary</t>
  </si>
  <si>
    <t xml:space="preserve">platform-vendor</t>
  </si>
  <si>
    <t xml:space="preserve">Developers and brands managing image/video</t>
  </si>
  <si>
    <t xml:space="preserve">Free 25 credits; Plus $99/mo ($89/mo annual) 225 credits incl. auto-tagging; Advanced $249/mo ($224 annual) 600 credits; Enterprise custom; 1 credit = 1,000 transformations or 1 GB storage or 1 GB image bandwidth (2 GB video)</t>
  </si>
  <si>
    <t xml:space="preserve">Media storage, transformation, CDN, DAM, AI auto-tagging</t>
  </si>
  <si>
    <t xml:space="preserve">photo/video AI</t>
  </si>
  <si>
    <t xml:space="preserve">Cloudinary is ImpactLens's storage and CDN supplier and also offers its own auto-tagging. ImpactLens differentiates on workflow (evidence chain → cited report → schedule), not on tagging.</t>
  </si>
  <si>
    <t xml:space="preserve">https://cloudinary.com/documentation/cloudinary_ai_content_analysis_addon</t>
  </si>
  <si>
    <t xml:space="preserve">TextIt / RapidPro</t>
  </si>
  <si>
    <t xml:space="preserve">channel</t>
  </si>
  <si>
    <t xml:space="preserve">Organisations messaging contacts by SMS and WhatsApp</t>
  </si>
  <si>
    <t xml:space="preserve">$25/mo for the first 1,000 messaged contacts, then $0.01 per additional contact; special pricing for registered non-profits</t>
  </si>
  <si>
    <t xml:space="preserve">Messaging flows and campaigns</t>
  </si>
  <si>
    <t xml:space="preserve">A possible delivery channel (SMS / WhatsApp), not a rival.</t>
  </si>
  <si>
    <t xml:space="preserve">https://textit.com/pricing</t>
  </si>
  <si>
    <t xml:space="preserve">MIRL Aftermath</t>
  </si>
  <si>
    <t xml:space="preserve">reference-oss</t>
  </si>
  <si>
    <t xml:space="preserve">Heritage professionals, conservators, human-rights researchers</t>
  </si>
  <si>
    <t xml:space="preserve">Before/after photo condition dossiers for courts and UNESCO submissions</t>
  </si>
  <si>
    <t xml:space="preserve">baseline / before-after; reports / evidence packs</t>
  </si>
  <si>
    <t xml:space="preserve">Design reference; not sold to buyers.</t>
  </si>
  <si>
    <t xml:space="preserve">https://github.com/mirl-ucsb/mirl-aftermath</t>
  </si>
  <si>
    <t xml:space="preserve">impact-vision</t>
  </si>
  <si>
    <t xml:space="preserve">VC and impact investment funds</t>
  </si>
  <si>
    <t xml:space="preserve">AI agent mapping reported impact to IRIS+, SDGs and 20+ ESG frameworks</t>
  </si>
  <si>
    <t xml:space="preserve">SDG / IRIS+ / GRI alignment</t>
  </si>
  <si>
    <t xml:space="preserve">https://github.com/joejoe168168/impact-vision</t>
  </si>
  <si>
    <t xml:space="preserve">impact-reporter-ai</t>
  </si>
  <si>
    <t xml:space="preserve">n/a (repository removed)</t>
  </si>
  <si>
    <t xml:space="preserve">n/a: repository returns HTTP 404</t>
  </si>
  <si>
    <t xml:space="preserve">Repository returns HTTP 404.</t>
  </si>
  <si>
    <t xml:space="preserve">None needed: dead link. Remove from the landscape.</t>
  </si>
  <si>
    <t xml:space="preserve">Dead</t>
  </si>
  <si>
    <t xml:space="preserve">https://github.com/maree217/impact-reporter-ai</t>
  </si>
  <si>
    <t xml:space="preserve">PRICE SUMMARY  (calculated from the rows above)</t>
  </si>
  <si>
    <t xml:space="preserve">Competitors with a numeric price</t>
  </si>
  <si>
    <t xml:space="preserve">Lowest (USD / month)</t>
  </si>
  <si>
    <t xml:space="preserve">Median (USD / month)</t>
  </si>
  <si>
    <t xml:space="preserve">Highest (USD / month)</t>
  </si>
  <si>
    <t xml:space="preserve">Priced below ImpactLens Starter</t>
  </si>
  <si>
    <t xml:space="preserve">Priced above ImpactLens Enterprise</t>
  </si>
  <si>
    <t xml:space="preserve">Prices are each vendor's lowest paid public plan, converted to a monthly equivalent; they cover different products (text report writers, form-based M&amp;E, field capture, M&amp;E suites), so this is context, not a like-for-like comparison. Detail: docs/IMPACTLENS PRICING MODEL.xlsx › 'Price Benchmark'.</t>
  </si>
  <si>
    <t xml:space="preserve">PLANNING INPUTS</t>
  </si>
  <si>
    <t xml:space="preserve">Every number the source documents did not give lives here. Blue = typed assumption or public figure · black = formula · yellow = key assumption the owner should confirm. Change a blue cell and every sheet updates. Prepared 2026-09-30. Benchmarks are third-party figures read through a search tool: re-read before external use.</t>
  </si>
  <si>
    <t xml:space="preserve">1 · GEOGRAPHY, DATES AND SALES MOTION</t>
  </si>
  <si>
    <t xml:space="preserve">Unit</t>
  </si>
  <si>
    <t xml:space="preserve">Basis / source</t>
  </si>
  <si>
    <t xml:space="preserve">P01</t>
  </si>
  <si>
    <t xml:space="preserve">Launch geography and billing currency</t>
  </si>
  <si>
    <t xml:space="preserve">India first: INR billing with GST invoices and Razorpay checkout. English-speaking international NGOs billed in USD (indicative prices on Pricing) once a USD checkout exists.</t>
  </si>
  <si>
    <t xml:space="preserve">text</t>
  </si>
  <si>
    <t xml:space="preserve">Prices are INR-primary (IMPACTLENS PRICING MODEL.xlsx › D7). India holds the reachable, reporting-obliged base counted in section 6. Resolves Open Items O-04 as a planning assumption.</t>
  </si>
  <si>
    <t xml:space="preserve">P02</t>
  </si>
  <si>
    <t xml:space="preserve">Planning start (month M1)</t>
  </si>
  <si>
    <t xml:space="preserve">date</t>
  </si>
  <si>
    <t xml:space="preserve">First month after this workbook was prepared (2026-09-30).</t>
  </si>
  <si>
    <t xml:space="preserve">P03</t>
  </si>
  <si>
    <t xml:space="preserve">Self-serve trial and web checkout for Starter and Pro; founder-led sales for Enterprise, CSR and funder buyers. No resellers in year 1.</t>
  </si>
  <si>
    <t xml:space="preserve">Follows the support model (Email / Email + Chat / Dedicated + SLA; IMPACTLENS PRICING MODEL.xlsx › row 69).</t>
  </si>
  <si>
    <t xml:space="preserve">2 · FUNNEL  (organisations; each rate is conversion from the previous stage)</t>
  </si>
  <si>
    <t xml:space="preserve">P04</t>
  </si>
  <si>
    <t xml:space="preserve">New sign-ups in M1</t>
  </si>
  <si>
    <t xml:space="preserve">orgs / month</t>
  </si>
  <si>
    <t xml:space="preserve">Sized so the documented Phase 2 trigger (50 paying orgs) is reached inside 12 months at the rates below.</t>
  </si>
  <si>
    <t xml:space="preserve">P05</t>
  </si>
  <si>
    <t xml:space="preserve">Sign-up growth</t>
  </si>
  <si>
    <t xml:space="preserve">per month</t>
  </si>
  <si>
    <t xml:space="preserve">Early-stage content + referral growth; no measured traffic exists yet.</t>
  </si>
  <si>
    <t xml:space="preserve">P06</t>
  </si>
  <si>
    <t xml:space="preserve">Site visit → sign-up</t>
  </si>
  <si>
    <t xml:space="preserve">rate</t>
  </si>
  <si>
    <t xml:space="preserve">B2B SaaS visit-to-sign-up typically 1–3% (saashero.net, orbix.studio 2026 conversion benchmarks).</t>
  </si>
  <si>
    <t xml:space="preserve">Benchmark</t>
  </si>
  <si>
    <t xml:space="preserve">P07</t>
  </si>
  <si>
    <t xml:space="preserve">Sign-up → first upload</t>
  </si>
  <si>
    <t xml:space="preserve">Upload is the first action after creating an org (PRD F1–F2).</t>
  </si>
  <si>
    <t xml:space="preserve">P08</t>
  </si>
  <si>
    <t xml:space="preserve">First upload → first analysis</t>
  </si>
  <si>
    <t xml:space="preserve">Analysis runs automatically on upload (PRD F3); the loss is failed or unsupported files.</t>
  </si>
  <si>
    <t xml:space="preserve">P09</t>
  </si>
  <si>
    <t xml:space="preserve">First analysis → value moment</t>
  </si>
  <si>
    <t xml:space="preserve">Value moment = search, filter, compare or project view used (PRD F4–F7).</t>
  </si>
  <si>
    <t xml:space="preserve">P10</t>
  </si>
  <si>
    <t xml:space="preserve">Value moment → first report / campaign</t>
  </si>
  <si>
    <t xml:space="preserve">Activation = ≥ 1 analysed asset and ≥ 1 generated report (proposed definition).</t>
  </si>
  <si>
    <t xml:space="preserve">P11</t>
  </si>
  <si>
    <t xml:space="preserve">Report → share or schedule</t>
  </si>
  <si>
    <t xml:space="preserve">Share link or scheduled delivery (PRD F10–F11).</t>
  </si>
  <si>
    <t xml:space="preserve">P12</t>
  </si>
  <si>
    <t xml:space="preserve">Share → paid</t>
  </si>
  <si>
    <t xml:space="preserve">End of the free trial below.</t>
  </si>
  <si>
    <t xml:space="preserve">P13</t>
  </si>
  <si>
    <t xml:space="preserve">Sign-up → paid (calculated)</t>
  </si>
  <si>
    <t xml:space="preserve">Product of the stage rates. Check: opt-in (no card) trial-to-paid benchmark 8–22%, median 14% (growthspreeofficial.com 2026 trial benchmarks).</t>
  </si>
  <si>
    <t xml:space="preserve">3 · FREE TRIAL</t>
  </si>
  <si>
    <t xml:space="preserve">P14</t>
  </si>
  <si>
    <t xml:space="preserve">Trial length</t>
  </si>
  <si>
    <t xml:space="preserve">days</t>
  </si>
  <si>
    <t xml:space="preserve">Common B2B SaaS opt-in trial length.</t>
  </si>
  <si>
    <t xml:space="preserve">P15</t>
  </si>
  <si>
    <t xml:space="preserve">AI analyses allowed in the trial</t>
  </si>
  <si>
    <t xml:space="preserve">analyses</t>
  </si>
  <si>
    <t xml:space="preserve">Enough for one project's before/after set.</t>
  </si>
  <si>
    <t xml:space="preserve">P16</t>
  </si>
  <si>
    <t xml:space="preserve">Cloudinary credits allowed in the trial</t>
  </si>
  <si>
    <t xml:space="preserve">credits</t>
  </si>
  <si>
    <t xml:space="preserve">Covers ~25 uploads and previews.</t>
  </si>
  <si>
    <t xml:space="preserve">P17</t>
  </si>
  <si>
    <t xml:space="preserve">Cost per trial org (calculated)</t>
  </si>
  <si>
    <t xml:space="preserve">₹ per trial</t>
  </si>
  <si>
    <t xml:space="preserve">Analyses × ₹ per analysis + credits × ₹ per credit at Cloudinary's published price (Pricing C52, C61).</t>
  </si>
  <si>
    <t xml:space="preserve">4 · NEW PAYING MIX, CHURN AND UPGRADES</t>
  </si>
  <si>
    <t xml:space="preserve">P18</t>
  </si>
  <si>
    <t xml:space="preserve">New paying orgs choosing Starter</t>
  </si>
  <si>
    <t xml:space="preserve">share</t>
  </si>
  <si>
    <t xml:space="preserve">Most likely S5 and small S1 teams (ICP tier fit).</t>
  </si>
  <si>
    <t xml:space="preserve">P19</t>
  </si>
  <si>
    <t xml:space="preserve">New paying orgs choosing Pro</t>
  </si>
  <si>
    <t xml:space="preserve">S1 and S2 teams needing search and campaign copy.</t>
  </si>
  <si>
    <t xml:space="preserve">P20</t>
  </si>
  <si>
    <t xml:space="preserve">New paying orgs choosing Enterprise</t>
  </si>
  <si>
    <t xml:space="preserve">Remainder, so the mix always sums to 100%.</t>
  </si>
  <si>
    <t xml:space="preserve">P21</t>
  </si>
  <si>
    <t xml:space="preserve">Monthly logo churn: Starter</t>
  </si>
  <si>
    <t xml:space="preserve">SMB SaaS 3–7% a month, SMB-heavy average ≈ 4% (meltingspot.io, churnfree.com 2026 benchmarks). Annual plans pull it to the low end.</t>
  </si>
  <si>
    <t xml:space="preserve">P22</t>
  </si>
  <si>
    <t xml:space="preserve">Monthly logo churn: Pro</t>
  </si>
  <si>
    <t xml:space="preserve">Mid-market 0.5–1.5% a month (same sources).</t>
  </si>
  <si>
    <t xml:space="preserve">P23</t>
  </si>
  <si>
    <t xml:space="preserve">Monthly logo churn: Enterprise</t>
  </si>
  <si>
    <t xml:space="preserve">Enterprise &lt; 0.5% best in class; ≈ 0.7% average (same sources).</t>
  </si>
  <si>
    <t xml:space="preserve">P24</t>
  </si>
  <si>
    <t xml:space="preserve">Upgrades Starter → Pro</t>
  </si>
  <si>
    <t xml:space="preserve">of Starter base / month</t>
  </si>
  <si>
    <t xml:space="preserve">Driven by the Pro feature fences (video, search, share links, campaign copy).</t>
  </si>
  <si>
    <t xml:space="preserve">P25</t>
  </si>
  <si>
    <t xml:space="preserve">Upgrades Pro → Enterprise</t>
  </si>
  <si>
    <t xml:space="preserve">of Pro base / month</t>
  </si>
  <si>
    <t xml:space="preserve">Driven by scheduled reports, unlimited seats and dedicated support.</t>
  </si>
  <si>
    <t xml:space="preserve">5 · ACQUISITION COST</t>
  </si>
  <si>
    <t xml:space="preserve">P26</t>
  </si>
  <si>
    <t xml:space="preserve">Target CAC payback: Starter and Pro</t>
  </si>
  <si>
    <t xml:space="preserve">months</t>
  </si>
  <si>
    <t xml:space="preserve">Common SaaS guardrail: recover CAC from gross profit within 12 months.</t>
  </si>
  <si>
    <t xml:space="preserve">P27</t>
  </si>
  <si>
    <t xml:space="preserve">Target CAC payback: Enterprise</t>
  </si>
  <si>
    <t xml:space="preserve">Sales-led deals tolerate a longer payback.</t>
  </si>
  <si>
    <t xml:space="preserve">6 · COSTS OUTSIDE COGS AND TAX</t>
  </si>
  <si>
    <t xml:space="preserve">P28</t>
  </si>
  <si>
    <t xml:space="preserve">GST on SaaS (India)</t>
  </si>
  <si>
    <t xml:space="preserve">of price</t>
  </si>
  <si>
    <t xml:space="preserve">18% GST on online information / SaaS services. Charged on top of the price and remitted, so it is not a cost if prices are quoted ex-GST.</t>
  </si>
  <si>
    <t xml:space="preserve">Public rate</t>
  </si>
  <si>
    <t xml:space="preserve">P29</t>
  </si>
  <si>
    <t xml:space="preserve">Payment-gateway fee</t>
  </si>
  <si>
    <t xml:space="preserve">of charge</t>
  </si>
  <si>
    <t xml:space="preserve">Razorpay standard plan: 2% domestic (3% international cards) + 18% GST on the fee (razorpay.com/blog/razorpay-payment-gateway-pricing-explained).</t>
  </si>
  <si>
    <t xml:space="preserve">P30</t>
  </si>
  <si>
    <t xml:space="preserve">Support cost: Starter</t>
  </si>
  <si>
    <t xml:space="preserve">₹ / org / month</t>
  </si>
  <si>
    <t xml:space="preserve">Email only; ≈ 15 min a month of support time.</t>
  </si>
  <si>
    <t xml:space="preserve">P31</t>
  </si>
  <si>
    <t xml:space="preserve">Support cost: Pro</t>
  </si>
  <si>
    <t xml:space="preserve">Email + chat.</t>
  </si>
  <si>
    <t xml:space="preserve">P32</t>
  </si>
  <si>
    <t xml:space="preserve">Support cost: Enterprise</t>
  </si>
  <si>
    <t xml:space="preserve">Dedicated + SLA: ≈ 10% of one support hire per account.</t>
  </si>
  <si>
    <t xml:space="preserve">P33</t>
  </si>
  <si>
    <t xml:space="preserve">Hosting (fixed)</t>
  </si>
  <si>
    <t xml:space="preserve">₹ / month</t>
  </si>
  <si>
    <t xml:space="preserve">One app VM + database backups + email; deployment target is undecided (PRD §7).</t>
  </si>
  <si>
    <t xml:space="preserve">7 · MARKET SIZE INPUTS (India)</t>
  </si>
  <si>
    <t xml:space="preserve">P34</t>
  </si>
  <si>
    <t xml:space="preserve">Active FCRA-registered NGOs</t>
  </si>
  <si>
    <t xml:space="preserve">orgs</t>
  </si>
  <si>
    <t xml:space="preserve">Receive foreign funds, so they owe donors evidence. MHA data reported by ThePrint / Millennium Post, 2025.</t>
  </si>
  <si>
    <t xml:space="preserve">Public figure</t>
  </si>
  <si>
    <t xml:space="preserve">P35</t>
  </si>
  <si>
    <t xml:space="preserve">Companies spending CSR (FY 2023-24)</t>
  </si>
  <si>
    <t xml:space="preserve">National CSR Portal: 27,188 companies spent ₹34,908.75 crore (The CSR Journal, 2025).</t>
  </si>
  <si>
    <t xml:space="preserve">P36</t>
  </si>
  <si>
    <t xml:space="preserve">Share reachable with a media-evidence product</t>
  </si>
  <si>
    <t xml:space="preserve">of TAM orgs</t>
  </si>
  <si>
    <t xml:space="preserve">Orgs that run field programmes with photo or video evidence and buy software online.</t>
  </si>
  <si>
    <t xml:space="preserve">P37</t>
  </si>
  <si>
    <t xml:space="preserve">Share of SAM won in 3 years</t>
  </si>
  <si>
    <t xml:space="preserve">of SAM orgs</t>
  </si>
  <si>
    <t xml:space="preserve">Typical early-stage obtainable share.</t>
  </si>
  <si>
    <t xml:space="preserve">8 · ADD-ONS, OVERAGE AND DISCOUNTS</t>
  </si>
  <si>
    <t xml:space="preserve">P38</t>
  </si>
  <si>
    <t xml:space="preserve">Add-on price as a multiple of unit cost</t>
  </si>
  <si>
    <t xml:space="preserve">×</t>
  </si>
  <si>
    <t xml:space="preserve">Keeps add-on gross margin ≈ 67%, near the Pro tier's modelled 65%.</t>
  </si>
  <si>
    <t xml:space="preserve">P39</t>
  </si>
  <si>
    <t xml:space="preserve">Extra AI analysis (calculated)</t>
  </si>
  <si>
    <t xml:space="preserve">₹ each</t>
  </si>
  <si>
    <t xml:space="preserve">₹ per analysis × markup, rounded.</t>
  </si>
  <si>
    <t xml:space="preserve">P40</t>
  </si>
  <si>
    <t xml:space="preserve">Extra Cloudinary credit (calculated)</t>
  </si>
  <si>
    <t xml:space="preserve">Published-price credit × markup, rounded.</t>
  </si>
  <si>
    <t xml:space="preserve">P41</t>
  </si>
  <si>
    <t xml:space="preserve">Extra seat (Starter, Pro)</t>
  </si>
  <si>
    <t xml:space="preserve">₹ / seat / month</t>
  </si>
  <si>
    <t xml:space="preserve">Priced so 3 extra Starter seats (₹1,500) stay below the ₹5,000 step to Pro.</t>
  </si>
  <si>
    <t xml:space="preserve">P42</t>
  </si>
  <si>
    <t xml:space="preserve">2-year prepay discount (on top of annual)</t>
  </si>
  <si>
    <t xml:space="preserve">off annual price</t>
  </si>
  <si>
    <t xml:space="preserve">No nonprofit or launch discount: every customer is an impact org and the base price already targets them.</t>
  </si>
  <si>
    <t xml:space="preserve">9 · SEGMENT ATTRACTIVENESS SCORING  (1 = weak, 5 = strong)</t>
  </si>
  <si>
    <t xml:space="preserve">Segment</t>
  </si>
  <si>
    <t xml:space="preserve">Pain</t>
  </si>
  <si>
    <t xml:space="preserve">Ability to pay</t>
  </si>
  <si>
    <t xml:space="preserve">Reachability</t>
  </si>
  <si>
    <t xml:space="preserve">Product fit today</t>
  </si>
  <si>
    <t xml:space="preserve">Score</t>
  </si>
  <si>
    <t xml:space="preserve">Rank</t>
  </si>
  <si>
    <t xml:space="preserve">Weight</t>
  </si>
  <si>
    <t xml:space="preserve">Program teams at NGOs</t>
  </si>
  <si>
    <t xml:space="preserve">Corporate CSR teams</t>
  </si>
  <si>
    <t xml:space="preserve">Governments</t>
  </si>
  <si>
    <t xml:space="preserve">Small / mid NGOs, no M&amp;E staff</t>
  </si>
  <si>
    <t xml:space="preserve">Funder-verification orgs (Phase 2)</t>
  </si>
  <si>
    <t xml:space="preserve">Scores are the preparer's judgement from the ICP evidence (e.g. S3/S4/S6 fit is low because the product has no GPS, content hash or verifier workflow yet). Replace them after customer interviews.</t>
  </si>
  <si>
    <t xml:space="preserve">ASSUMPTIONS &amp; SOURCES</t>
  </si>
  <si>
    <t xml:space="preserve">Every input or claim used in this workbook. Values in green are live links to the sheet where they are used, so this register cannot drift from the model. Note: docs/COMPETITIVE-LANDSCAPE.md and docs/competitors.csv were written during a product audit on 2026-09-29; their content is analysis and recommendation (Hypothesis), not a management decision. docs/IMPACTLENS PRICING MODEL.xlsx (pricing) is the only original planning document.</t>
  </si>
  <si>
    <t xml:space="preserve">Area</t>
  </si>
  <si>
    <t xml:space="preserve">Source document</t>
  </si>
  <si>
    <t xml:space="preserve">Section / location</t>
  </si>
  <si>
    <t xml:space="preserve">Confidence / status</t>
  </si>
  <si>
    <t xml:space="preserve">A01</t>
  </si>
  <si>
    <t xml:space="preserve">Starter price, annual plan</t>
  </si>
  <si>
    <t xml:space="preserve">IMPACTLENS PRICING MODEL.xlsx</t>
  </si>
  <si>
    <t xml:space="preserve">ImpactLens Pricing › D31</t>
  </si>
  <si>
    <t xml:space="preserve">A02</t>
  </si>
  <si>
    <t xml:space="preserve">Pro price, annual plan</t>
  </si>
  <si>
    <t xml:space="preserve">ImpactLens Pricing › E31</t>
  </si>
  <si>
    <t xml:space="preserve">A03</t>
  </si>
  <si>
    <t xml:space="preserve">Enterprise price, annual plan</t>
  </si>
  <si>
    <t xml:space="preserve">ImpactLens Pricing › F31</t>
  </si>
  <si>
    <t xml:space="preserve">A04</t>
  </si>
  <si>
    <t xml:space="preserve">%</t>
  </si>
  <si>
    <t xml:space="preserve">ImpactLens Pricing › D6</t>
  </si>
  <si>
    <t xml:space="preserve">A05</t>
  </si>
  <si>
    <t xml:space="preserve">₹ per $</t>
  </si>
  <si>
    <t xml:space="preserve">ImpactLens Pricing › D8</t>
  </si>
  <si>
    <t xml:space="preserve">Marked editable; date and source of the rate not documented.</t>
  </si>
  <si>
    <t xml:space="preserve">A06</t>
  </si>
  <si>
    <t xml:space="preserve">Monthly-plan price rule: annual ÷ (1 − discount)</t>
  </si>
  <si>
    <t xml:space="preserve">formula</t>
  </si>
  <si>
    <t xml:space="preserve">ImpactLens Pricing › D11</t>
  </si>
  <si>
    <t xml:space="preserve">A07</t>
  </si>
  <si>
    <t xml:space="preserve">Monthly-plan price, Starter / Pro / Enterprise</t>
  </si>
  <si>
    <t xml:space="preserve">Derived from D11</t>
  </si>
  <si>
    <t xml:space="preserve">A08</t>
  </si>
  <si>
    <t xml:space="preserve">Prices are per organisation per month</t>
  </si>
  <si>
    <t xml:space="preserve">per org</t>
  </si>
  <si>
    <t xml:space="preserve">ImpactLens Pricing › A16 ('COGS per org / month')</t>
  </si>
  <si>
    <t xml:space="preserve">Unit inferred from the COGS heading.</t>
  </si>
  <si>
    <t xml:space="preserve">A09</t>
  </si>
  <si>
    <t xml:space="preserve">Tier-to-segment maturity (Low / Mid / High)</t>
  </si>
  <si>
    <t xml:space="preserve">Low / Mid / High</t>
  </si>
  <si>
    <t xml:space="preserve">ImpactLens Pricing › D30:F30</t>
  </si>
  <si>
    <t xml:space="preserve">Criteria undefined.</t>
  </si>
  <si>
    <t xml:space="preserve">A10</t>
  </si>
  <si>
    <t xml:space="preserve">Cloudinary credits included per tier</t>
  </si>
  <si>
    <t xml:space="preserve">credits / mo</t>
  </si>
  <si>
    <t xml:space="preserve">ImpactLens Pricing › D18:F18</t>
  </si>
  <si>
    <t xml:space="preserve">A11</t>
  </si>
  <si>
    <t xml:space="preserve">AI vision analyses included per tier</t>
  </si>
  <si>
    <t xml:space="preserve">ImpactLens Pricing › D20:F20</t>
  </si>
  <si>
    <t xml:space="preserve">A12</t>
  </si>
  <si>
    <t xml:space="preserve">Reports + semantic-search cost per tier</t>
  </si>
  <si>
    <t xml:space="preserve">ImpactLens Pricing › D22:F22</t>
  </si>
  <si>
    <t xml:space="preserve">Typed number; no derivation given.</t>
  </si>
  <si>
    <t xml:space="preserve">A13</t>
  </si>
  <si>
    <t xml:space="preserve">Unit economics</t>
  </si>
  <si>
    <t xml:space="preserve">₹</t>
  </si>
  <si>
    <t xml:space="preserve">ImpactLens Pricing › D12</t>
  </si>
  <si>
    <t xml:space="preserve">Published price implies a higher figure: see next row and Open Items O-01.</t>
  </si>
  <si>
    <t xml:space="preserve">A14</t>
  </si>
  <si>
    <t xml:space="preserve">₹ per credit implied by Cloudinary's published price</t>
  </si>
  <si>
    <t xml:space="preserve">competitors.csv</t>
  </si>
  <si>
    <t xml:space="preserve">cloudinary row (https://cloudinary.com/pricing, verified 2026-09-29)</t>
  </si>
  <si>
    <t xml:space="preserve">$89 for 225 credits at the workbook's FX rate.</t>
  </si>
  <si>
    <t xml:space="preserve">A15</t>
  </si>
  <si>
    <t xml:space="preserve">ImpactLens Pricing › D13</t>
  </si>
  <si>
    <t xml:space="preserve">Labelled 'assumption' in the source; not measured. Token usage is not logged.</t>
  </si>
  <si>
    <t xml:space="preserve">A16</t>
  </si>
  <si>
    <t xml:space="preserve">₹ per report / ₹ per semantic search</t>
  </si>
  <si>
    <t xml:space="preserve">1.00 / 0.50</t>
  </si>
  <si>
    <t xml:space="preserve">Search cost holds only while the LLM prompt is capped (120 candidates, Rev. 4).</t>
  </si>
  <si>
    <t xml:space="preserve">A17</t>
  </si>
  <si>
    <t xml:space="preserve">frames</t>
  </si>
  <si>
    <t xml:space="preserve">'Cost Inputs'!C29 (from src/lib/ai.ts)</t>
  </si>
  <si>
    <t xml:space="preserve">Upper bound used for the all-video stress case.</t>
  </si>
  <si>
    <t xml:space="preserve">A18</t>
  </si>
  <si>
    <t xml:space="preserve">Gross margin as modelled: Starter / Pro / Enterprise</t>
  </si>
  <si>
    <t xml:space="preserve">This workbook</t>
  </si>
  <si>
    <t xml:space="preserve">Cost floor only: excludes hosting, support, fees, tax.</t>
  </si>
  <si>
    <t xml:space="preserve">A19</t>
  </si>
  <si>
    <t xml:space="preserve">Gross margin at the published Cloudinary price</t>
  </si>
  <si>
    <t xml:space="preserve">A20</t>
  </si>
  <si>
    <t xml:space="preserve">Gross margin if every analysis is a video (upper bound)</t>
  </si>
  <si>
    <t xml:space="preserve">Stress case; frames are downscaled so the true multiplier is lower but unmeasured.</t>
  </si>
  <si>
    <t xml:space="preserve">A21</t>
  </si>
  <si>
    <t xml:space="preserve">Phase 2 price ranges (low / high, Starter)</t>
  </si>
  <si>
    <t xml:space="preserve">ImpactLens Pricing › D74</t>
  </si>
  <si>
    <t xml:space="preserve">A22</t>
  </si>
  <si>
    <t xml:space="preserve">Phase 2 price ranges (low / high, Pro)</t>
  </si>
  <si>
    <t xml:space="preserve">ImpactLens Pricing › D75</t>
  </si>
  <si>
    <t xml:space="preserve">A23</t>
  </si>
  <si>
    <t xml:space="preserve">Phase 2 price ranges (low / high, Enterprise)</t>
  </si>
  <si>
    <t xml:space="preserve">ImpactLens Pricing › D76</t>
  </si>
  <si>
    <t xml:space="preserve">A24</t>
  </si>
  <si>
    <t xml:space="preserve">Phase 2 trigger</t>
  </si>
  <si>
    <t xml:space="preserve">50 paying orgs + public API pilot + funder-verification pilots</t>
  </si>
  <si>
    <t xml:space="preserve">ImpactLens Pricing › D72</t>
  </si>
  <si>
    <t xml:space="preserve">Dates: not documented.</t>
  </si>
  <si>
    <t xml:space="preserve">A25</t>
  </si>
  <si>
    <t xml:space="preserve">Feature entitlements and limits by tier</t>
  </si>
  <si>
    <t xml:space="preserve">see Pricing §3</t>
  </si>
  <si>
    <t xml:space="preserve">ImpactLens Pricing › rows 52–69</t>
  </si>
  <si>
    <t xml:space="preserve">Not enforced in the product (memo U3).</t>
  </si>
  <si>
    <t xml:space="preserve">A26</t>
  </si>
  <si>
    <t xml:space="preserve">Support level by tier</t>
  </si>
  <si>
    <t xml:space="preserve">Email / Email + Chat / Dedicated + SLA</t>
  </si>
  <si>
    <t xml:space="preserve">ImpactLens Pricing › row 69</t>
  </si>
  <si>
    <t xml:space="preserve">SLA terms undefined.</t>
  </si>
  <si>
    <t xml:space="preserve">A27</t>
  </si>
  <si>
    <t xml:space="preserve">Add-ons, overage, other discounts, free tier</t>
  </si>
  <si>
    <t xml:space="preserve">§3, §8</t>
  </si>
  <si>
    <t xml:space="preserve">A28</t>
  </si>
  <si>
    <t xml:space="preserve">Product</t>
  </si>
  <si>
    <t xml:space="preserve">Field evidence → AI insight → donor-ready reports</t>
  </si>
  <si>
    <t xml:space="preserve">ImpactLens Pricing › A3, A79</t>
  </si>
  <si>
    <t xml:space="preserve">A29</t>
  </si>
  <si>
    <t xml:space="preserve">Problem, users, goals, functional scope (F1–F13)</t>
  </si>
  <si>
    <t xml:space="preserve">see ICP sheet</t>
  </si>
  <si>
    <t xml:space="preserve">PRD.md (repo root, outside docs/)</t>
  </si>
  <si>
    <t xml:space="preserve">§1–§4</t>
  </si>
  <si>
    <t xml:space="preserve">Outside docs/; the PRD is the only source for personas and product scope.</t>
  </si>
  <si>
    <t xml:space="preserve">A30</t>
  </si>
  <si>
    <t xml:space="preserve">Non-goals: general DAM, video editor, donor CRM, multi-region scale</t>
  </si>
  <si>
    <t xml:space="preserve">stated</t>
  </si>
  <si>
    <t xml:space="preserve">§3</t>
  </si>
  <si>
    <t xml:space="preserve">Bounds the GTM: not a DAM or CRM.</t>
  </si>
  <si>
    <t xml:space="preserve">A31</t>
  </si>
  <si>
    <t xml:space="preserve">Deployment target undecided (Caddy on a VM or a Vercel-style host)</t>
  </si>
  <si>
    <t xml:space="preserve">undecided</t>
  </si>
  <si>
    <t xml:space="preserve">§7</t>
  </si>
  <si>
    <t xml:space="preserve">Affects hosting cost, headers, proxy, cron.</t>
  </si>
  <si>
    <t xml:space="preserve">A32</t>
  </si>
  <si>
    <t xml:space="preserve">GTM</t>
  </si>
  <si>
    <t xml:space="preserve">Positioning statement</t>
  </si>
  <si>
    <t xml:space="preserve">The report layer for organisations that already have field media…</t>
  </si>
  <si>
    <t xml:space="preserve">COMPETITIVE-LANDSCAPE.md</t>
  </si>
  <si>
    <t xml:space="preserve">Untested with customers.</t>
  </si>
  <si>
    <t xml:space="preserve">A33</t>
  </si>
  <si>
    <t xml:space="preserve">Underserved segments</t>
  </si>
  <si>
    <t xml:space="preserve">S5 (small / mid NGOs with a photo backlog); S2; S3</t>
  </si>
  <si>
    <t xml:space="preserve">No customer interviews exist.</t>
  </si>
  <si>
    <t xml:space="preserve">A34</t>
  </si>
  <si>
    <t xml:space="preserve">Channel / partner ideas (embed widget, import connectors, WhatsApp)</t>
  </si>
  <si>
    <t xml:space="preserve">proposed</t>
  </si>
  <si>
    <t xml:space="preserve">§5 U8, U12, U13</t>
  </si>
  <si>
    <t xml:space="preserve">Not decided; APIs and terms not checked.</t>
  </si>
  <si>
    <t xml:space="preserve">A35</t>
  </si>
  <si>
    <t xml:space="preserve">Sales motion by tier (self-serve vs sales-led)</t>
  </si>
  <si>
    <t xml:space="preserve">inferred from support levels</t>
  </si>
  <si>
    <t xml:space="preserve">row 69</t>
  </si>
  <si>
    <t xml:space="preserve">A36</t>
  </si>
  <si>
    <t xml:space="preserve">Acquisition, marketing and sales channels; geography</t>
  </si>
  <si>
    <t xml:space="preserve">India first; content, referral, connector and share-link channels</t>
  </si>
  <si>
    <t xml:space="preserve">§1; GTM Strategy rows 10–17</t>
  </si>
  <si>
    <t xml:space="preserve">A37</t>
  </si>
  <si>
    <t xml:space="preserve">&lt; 30 s per image</t>
  </si>
  <si>
    <t xml:space="preserve">§6</t>
  </si>
  <si>
    <t xml:space="preserve">A38</t>
  </si>
  <si>
    <t xml:space="preserve">Not enforced or measured today (memo U2).</t>
  </si>
  <si>
    <t xml:space="preserve">A39</t>
  </si>
  <si>
    <t xml:space="preserve">Zero cross-tenant reads / writes</t>
  </si>
  <si>
    <t xml:space="preserve">A40</t>
  </si>
  <si>
    <t xml:space="preserve">Revenue</t>
  </si>
  <si>
    <t xml:space="preserve">Customer counts, growth, churn, upgrade rates, billing mix</t>
  </si>
  <si>
    <t xml:space="preserve">§2, §4</t>
  </si>
  <si>
    <t xml:space="preserve">Scenario inputs now come from Planning Inputs; churn from public SaaS benchmarks.</t>
  </si>
  <si>
    <t xml:space="preserve">A41</t>
  </si>
  <si>
    <t xml:space="preserve">CAC, payback, conversion rates</t>
  </si>
  <si>
    <t xml:space="preserve">Planning Inputs; Revenue Model</t>
  </si>
  <si>
    <t xml:space="preserve">§2, §5; Revenue Model D</t>
  </si>
  <si>
    <t xml:space="preserve">A42</t>
  </si>
  <si>
    <t xml:space="preserve">Market size (TAM / SAM / SOM)</t>
  </si>
  <si>
    <t xml:space="preserve">§7; Revenue Model E</t>
  </si>
  <si>
    <t xml:space="preserve">Public org counts (FCRA, National CSR Portal) × assumed reachable shares.</t>
  </si>
  <si>
    <t xml:space="preserve">A43</t>
  </si>
  <si>
    <t xml:space="preserve">Tax (e.g. GST), payment fees, hosting, support cost</t>
  </si>
  <si>
    <t xml:space="preserve">GST is collected on top of price, so it is not a cost.</t>
  </si>
  <si>
    <t xml:space="preserve">A44</t>
  </si>
  <si>
    <t xml:space="preserve">Competitive</t>
  </si>
  <si>
    <t xml:space="preserve">Competitor register: rows / with a verified page</t>
  </si>
  <si>
    <t xml:space="preserve">rows</t>
  </si>
  <si>
    <t xml:space="preserve">all rows</t>
  </si>
  <si>
    <t xml:space="preserve">See register</t>
  </si>
  <si>
    <t xml:space="preserve">Confidence per row on the Competitive Positioning sheet.</t>
  </si>
  <si>
    <t xml:space="preserve">A45</t>
  </si>
  <si>
    <t xml:space="preserve">Rows verified High confidence</t>
  </si>
  <si>
    <t xml:space="preserve">confidence column</t>
  </si>
  <si>
    <t xml:space="preserve">A46</t>
  </si>
  <si>
    <t xml:space="preserve">Rows unverified (Low) or dead</t>
  </si>
  <si>
    <t xml:space="preserve">A47</t>
  </si>
  <si>
    <t xml:space="preserve">Competitor prices (USD / month)</t>
  </si>
  <si>
    <t xml:space="preserve">see Competitive Positioning</t>
  </si>
  <si>
    <t xml:space="preserve">$</t>
  </si>
  <si>
    <t xml:space="preserve">price_summary; each row's source URL</t>
  </si>
  <si>
    <t xml:space="preserve">Read from vendor pages 2026-09-29 through a summarising tool: re-read before external use.</t>
  </si>
  <si>
    <t xml:space="preserve">OPEN ITEMS: CONTRADICTIONS AND MISSING INFORMATION</t>
  </si>
  <si>
    <t xml:space="preserve">Contradictions are shown with both sides. Gaps that blocked the model now carry a labelled planning assumption from 'Planning Inputs' (Status column); the owner still has to confirm them.</t>
  </si>
  <si>
    <t xml:space="preserve">Evidence / where it appears</t>
  </si>
  <si>
    <t xml:space="preserve">What is needed to close it</t>
  </si>
  <si>
    <t xml:space="preserve">Affects</t>
  </si>
  <si>
    <t xml:space="preserve">Status (2026-09-30)</t>
  </si>
  <si>
    <t xml:space="preserve">O-01</t>
  </si>
  <si>
    <t xml:space="preserve">Contradiction</t>
  </si>
  <si>
    <t xml:space="preserve">Cloudinary cost per credit: ₹34 (model) vs ₹38.0 (published price)</t>
  </si>
  <si>
    <t xml:space="preserve">IMPACTLENS PRICING MODEL.xlsx uses ~₹34 per credit but cites $89/mo for 225 credits, which is ₹38.0 at its own 96.07 FX rate (₹42.3 if billed monthly). Cloudinary's page (docs/competitors.csv, verified 2026-09-29) confirms $89 annual / $99 monthly for 225 credits.</t>
  </si>
  <si>
    <t xml:space="preserve">Pricing owner decides which Cloudinary plan and billing to model, and which FX rate.</t>
  </si>
  <si>
    <t xml:space="preserve">Pricing §4; all margins</t>
  </si>
  <si>
    <t xml:space="preserve">Open: owner decision needed.</t>
  </si>
  <si>
    <t xml:space="preserve">O-02</t>
  </si>
  <si>
    <t xml:space="preserve">Enterprise tier lists SSO / RBAC / audit log as 'Phase 2', but the tier is priced now</t>
  </si>
  <si>
    <t xml:space="preserve">IMPACTLENS PRICING MODEL.xlsx › row 68 ('Phase 2') vs rows 71–77 (those features justify the Phase 2 price rise). Enterprise support also promises an SLA now, while '99.9% uptime SLA' is a Phase 2 item.</t>
  </si>
  <si>
    <t xml:space="preserve">Decide what Enterprise includes on day one and remove or date the Phase 2 items from the tier.</t>
  </si>
  <si>
    <t xml:space="preserve">Pricing §3, §5</t>
  </si>
  <si>
    <t xml:space="preserve">O-03</t>
  </si>
  <si>
    <t xml:space="preserve">'Unlimited' Enterprise features vs a fixed-allowance cost floor</t>
  </si>
  <si>
    <t xml:space="preserve">Enterprise lists unlimited orgs, seats, assets and comparisons, yet COGS assumes 5,000 analyses and 150 credits. Margin is 48.7% as modelled and 45.7% at the published Cloudinary price.</t>
  </si>
  <si>
    <t xml:space="preserve">Define bounded units and overage, or accept the risk explicitly.</t>
  </si>
  <si>
    <t xml:space="preserve">Pricing §3–4; Revenue Model</t>
  </si>
  <si>
    <t xml:space="preserve">O-04</t>
  </si>
  <si>
    <t xml:space="preserve">Gap / tension</t>
  </si>
  <si>
    <t xml:space="preserve">Geography and currency</t>
  </si>
  <si>
    <t xml:space="preserve">Prices are INR-primary with USD 'indicative' (IMPACTLENS PRICING MODEL.xlsx › D7), but the competitor set is priced in USD and no doc names a target geography or region.</t>
  </si>
  <si>
    <t xml:space="preserve">State the launch geography and billing currency.</t>
  </si>
  <si>
    <t xml:space="preserve">GTM; Pricing</t>
  </si>
  <si>
    <t xml:space="preserve">Assumed: India first, INR billing (Planning Inputs §1). Confirm.</t>
  </si>
  <si>
    <t xml:space="preserve">O-05</t>
  </si>
  <si>
    <t xml:space="preserve">Semantic search shown as unlimited, costed as ~300 / 1,000 a month</t>
  </si>
  <si>
    <t xml:space="preserve">Feature table row 58 is a bare tick; COGS row 22 is a typed ₹180 / ₹650. At ₹1.00 per report and ₹0.50 per search the numbers imply about 300 and 1,000 searches (docs/IMPACTLENS PRICING MODEL.xlsx › 'Cost Inputs' §4).</t>
  </si>
  <si>
    <t xml:space="preserve">Define a search allowance per tier.</t>
  </si>
  <si>
    <t xml:space="preserve">Pricing §3–4</t>
  </si>
  <si>
    <t xml:space="preserve">O-06</t>
  </si>
  <si>
    <t xml:space="preserve">Gap</t>
  </si>
  <si>
    <t xml:space="preserve">What counts as one 'analysis' when the media is a video</t>
  </si>
  <si>
    <t xml:space="preserve">Video analysis samples up to 6 frames. If every Pro / Enterprise analysis is a video, modelled margin falls to 6.5% and −66.8% (calculated upper bound).</t>
  </si>
  <si>
    <t xml:space="preserve">Define the billable unit for video.</t>
  </si>
  <si>
    <t xml:space="preserve">Pricing §4</t>
  </si>
  <si>
    <t xml:space="preserve">O-07</t>
  </si>
  <si>
    <t xml:space="preserve">Plan limits are not enforced by the product</t>
  </si>
  <si>
    <t xml:space="preserve">There is no plan, quota or overage in the schema; the limits exist only in the workbook (docs/COMPETITIVE-LANDSCAPE.md U3).</t>
  </si>
  <si>
    <t xml:space="preserve">Product build after the unit decisions above.</t>
  </si>
  <si>
    <t xml:space="preserve">Pricing; Revenue Model</t>
  </si>
  <si>
    <t xml:space="preserve">O-08</t>
  </si>
  <si>
    <t xml:space="preserve">Missing</t>
  </si>
  <si>
    <t xml:space="preserve">Customers, pipeline, growth, churn, upgrade rates, billing mix</t>
  </si>
  <si>
    <t xml:space="preserve">None appears in any doc. The Revenue Model scenario inputs are blank on purpose.</t>
  </si>
  <si>
    <t xml:space="preserve">Founder / sales input; or a stated planning scenario clearly labelled as an assumption.</t>
  </si>
  <si>
    <t xml:space="preserve">Assumed: sign-ups, funnel, mix, churn and upgrades (Planning Inputs §2–4). Confirm.</t>
  </si>
  <si>
    <t xml:space="preserve">O-09</t>
  </si>
  <si>
    <t xml:space="preserve">Costs outside COGS</t>
  </si>
  <si>
    <t xml:space="preserve">Hosting, support (Enterprise promises dedicated support), payment-gateway fees, tax (for example GST on SaaS), the cost of comparisons, campaign copy, scheduled runs and image generation.</t>
  </si>
  <si>
    <t xml:space="preserve">Finance / measured usage.</t>
  </si>
  <si>
    <t xml:space="preserve">Pricing §4; Revenue Model</t>
  </si>
  <si>
    <t xml:space="preserve">Partly assumed: gateway, support, hosting (§6). Comparison and campaign costs still unmeasured.</t>
  </si>
  <si>
    <t xml:space="preserve">O-10</t>
  </si>
  <si>
    <t xml:space="preserve">Acquisition, marketing and sales channels; sales motion; CAC; conversion; market size</t>
  </si>
  <si>
    <t xml:space="preserve">The docs have none. Only channel *ideas* exist, as hypotheses in the memo (embed widget, import connectors, WhatsApp).</t>
  </si>
  <si>
    <t xml:space="preserve">Founder / GTM lead.</t>
  </si>
  <si>
    <t xml:space="preserve">GTM Strategy; ICP</t>
  </si>
  <si>
    <t xml:space="preserve">Assumed: channels, motion, CAC ceiling, market size (§1, §5, §7). Confirm.</t>
  </si>
  <si>
    <t xml:space="preserve">O-11</t>
  </si>
  <si>
    <t xml:space="preserve">Definition of 'Impact Evidence Maturity' (Low / Mid / High)</t>
  </si>
  <si>
    <t xml:space="preserve">Used to name the three tiers (IMPACTLENS PRICING MODEL.xlsx › row 30); no criteria anywhere, so a buyer cannot self-select.</t>
  </si>
  <si>
    <t xml:space="preserve">Write the criteria or replace the label.</t>
  </si>
  <si>
    <t xml:space="preserve">ICP; Pricing §2</t>
  </si>
  <si>
    <t xml:space="preserve">Assumed: criteria written from the tier limits (Pricing F13). Confirm.</t>
  </si>
  <si>
    <t xml:space="preserve">O-12</t>
  </si>
  <si>
    <t xml:space="preserve">Phase 2: grandfathering of existing customers; dates</t>
  </si>
  <si>
    <t xml:space="preserve">IMPACTLENS PRICING MODEL.xlsx › D72–D77 gives a trigger and price ranges but no dates and no policy for customers on Phase 1 prices.</t>
  </si>
  <si>
    <t xml:space="preserve">Pricing owner.</t>
  </si>
  <si>
    <t xml:space="preserve">Pricing §5; Revenue Model</t>
  </si>
  <si>
    <t xml:space="preserve">O-13</t>
  </si>
  <si>
    <t xml:space="preserve">Buying triggers, decision makers' authority, segment attractiveness</t>
  </si>
  <si>
    <t xml:space="preserve">The PRD names user roles, not budget holders. No sizing or scoring exists.</t>
  </si>
  <si>
    <t xml:space="preserve">Customer interviews (none recorded).</t>
  </si>
  <si>
    <t xml:space="preserve">ICP</t>
  </si>
  <si>
    <t xml:space="preserve">Assumed: triggers, decision makers, scored attractiveness (§9). Validate in interviews.</t>
  </si>
  <si>
    <t xml:space="preserve">O-14</t>
  </si>
  <si>
    <t xml:space="preserve">Price validation</t>
  </si>
  <si>
    <t xml:space="preserve">No doc records willingness-to-pay or any customer feedback on the tiers.</t>
  </si>
  <si>
    <t xml:space="preserve">5–10 buyer conversations (memo §8 item 8).</t>
  </si>
  <si>
    <t xml:space="preserve">Pricing; GTM</t>
  </si>
  <si>
    <t xml:space="preserve">Plan: 10 buyer interviews before Phase 2 (Pricing row 89).</t>
  </si>
  <si>
    <t xml:space="preserve">O-15</t>
  </si>
  <si>
    <t xml:space="preserve">Unverified competitors and unpriced competitors</t>
  </si>
  <si>
    <t xml:space="preserve">Chauka, MONIC, Amp Impact, Watershed, Persefoni, Sweep are unverified; BNZ Impact, Sealr, ReportsAI and engage have no public price (docs/competitors.csv). Page text was read through a summarising tool.</t>
  </si>
  <si>
    <t xml:space="preserve">Quote requests; re-read exact figures on the vendor pages before external use.</t>
  </si>
  <si>
    <t xml:space="preserve">Re-researched 2026-09-30: all six now have a source; Watershed / Sweep still quote-only.</t>
  </si>
  <si>
    <t xml:space="preserve">O-16</t>
  </si>
  <si>
    <t xml:space="preserve">Provenance note</t>
  </si>
  <si>
    <t xml:space="preserve">Two of the three docs were written during the 2026-09-29 audit</t>
  </si>
  <si>
    <t xml:space="preserve">docs/COMPETITIVE-LANDSCAPE.md and docs/competitors.csv contain research, recommendations and hypotheses by the auditor, not management decisions. Only IMPACTLENS PRICING MODEL.xlsx is an original planning document.</t>
  </si>
  <si>
    <t xml:space="preserve">Treat Hypothesis rows as proposals until the owners confirm.</t>
  </si>
  <si>
    <t xml:space="preserve">All sheets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</si>
</sst>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\₹#,##0;&quot;(₹&quot;#,##0\);\-"/>
    <numFmt numFmtId="166" formatCode="\$#,##0;&quot;($&quot;#,##0\);\-"/>
    <numFmt numFmtId="167" formatCode="0.0%;\(0.0%\);\-"/>
    <numFmt numFmtId="168" formatCode="\₹#,##0.0"/>
    <numFmt numFmtId="169" formatCode="\₹0.00"/>
    <numFmt numFmtId="170" formatCode="0%"/>
    <numFmt numFmtId="171" formatCode="0.00"/>
    <numFmt numFmtId="172" formatCode="#,##0;\(#,##0\);\-"/>
    <numFmt numFmtId="173" formatCode="#,##0"/>
    <numFmt numFmtId="174" formatCode="0.0%"/>
    <numFmt numFmtId="175" formatCode="0"/>
    <numFmt numFmtId="176" formatCode="#,##0.0;\(#,##0.0\);\-"/>
    <numFmt numFmtId="177" formatCode="#,##0.0;\(#,##0.0\);\-"/>
    <numFmt numFmtId="178" formatCode="#,##0;\(#,##0\);\-"/>
    <numFmt numFmtId="179" formatCode="0.0\x"/>
    <numFmt numFmtId="180" formatCode="mmm\ yyyy"/>
    <numFmt numFmtId="181" formatCode="0.0&quot; cr&quot;"/>
    <numFmt numFmtId="182" formatCode="0.0\x"/>
    <numFmt numFmtId="183" formatCode="d\ mmm\ 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7A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A548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3A5487"/>
      </left>
      <right style="thin">
        <color rgb="FF3A5487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3A5487"/>
      </left>
      <right/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3A5487"/>
      </left>
      <right style="thin">
        <color rgb="FFD9D9D9"/>
      </right>
      <top style="thin">
        <color rgb="FF1F3864"/>
      </top>
      <bottom style="thin">
        <color rgb="FF1F3864"/>
      </bottom>
      <diagonal/>
    </border>
    <border diagonalUp="false" diagonalDown="false">
      <left/>
      <right style="thin">
        <color rgb="FFD9D9D9"/>
      </right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1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1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12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2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1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9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3" fontId="11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1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1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1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rial"/>
        <charset val="1"/>
        <family val="0"/>
        <b val="1"/>
        <color rgb="FFC00000"/>
      </font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ADCF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CF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7A33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7A33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ADCF4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A548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F5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5" min="3" style="1" width="24"/>
    <col collapsed="false" customWidth="true" hidden="false" outlineLevel="0" max="6" min="6" style="1" width="62"/>
  </cols>
  <sheetData>
    <row r="2" customFormat="false" ht="27.75" hidden="false" customHeight="true" outlineLevel="0" collapsed="false">
      <c r="B2" s="2" t="s">
        <v>0</v>
      </c>
    </row>
    <row r="3" customFormat="false" ht="30" hidden="false" customHeight="true" outlineLevel="0" collapsed="false">
      <c r="B3" s="3" t="s">
        <v>1</v>
      </c>
      <c r="C3" s="3"/>
      <c r="D3" s="3"/>
      <c r="E3" s="3"/>
      <c r="F3" s="3"/>
    </row>
    <row r="5" customFormat="false" ht="24" hidden="false" customHeight="true" outlineLevel="0" collapsed="false">
      <c r="B5" s="4" t="s">
        <v>2</v>
      </c>
      <c r="C5" s="4"/>
      <c r="D5" s="4"/>
      <c r="E5" s="4"/>
      <c r="F5" s="4"/>
    </row>
    <row r="6" customFormat="false" ht="19.5" hidden="false" customHeight="true" outlineLevel="0" collapsed="false">
      <c r="B6" s="5" t="s">
        <v>3</v>
      </c>
      <c r="C6" s="6" t="s">
        <v>4</v>
      </c>
      <c r="D6" s="6"/>
      <c r="E6" s="6"/>
      <c r="F6" s="5" t="s">
        <v>5</v>
      </c>
    </row>
    <row r="7" customFormat="false" ht="69.75" hidden="false" customHeight="true" outlineLevel="0" collapsed="false">
      <c r="B7" s="7" t="s">
        <v>6</v>
      </c>
      <c r="C7" s="8" t="s">
        <v>7</v>
      </c>
      <c r="D7" s="8"/>
      <c r="E7" s="8"/>
      <c r="F7" s="9" t="s">
        <v>8</v>
      </c>
    </row>
    <row r="8" customFormat="false" ht="56.25" hidden="false" customHeight="true" outlineLevel="0" collapsed="false">
      <c r="B8" s="7" t="s">
        <v>9</v>
      </c>
      <c r="C8" s="8" t="s">
        <v>10</v>
      </c>
      <c r="D8" s="8"/>
      <c r="E8" s="8"/>
      <c r="F8" s="9" t="s">
        <v>11</v>
      </c>
    </row>
    <row r="9" customFormat="false" ht="43.5" hidden="false" customHeight="true" outlineLevel="0" collapsed="false">
      <c r="B9" s="7" t="s">
        <v>12</v>
      </c>
      <c r="C9" s="8" t="s">
        <v>13</v>
      </c>
      <c r="D9" s="8"/>
      <c r="E9" s="8"/>
      <c r="F9" s="9" t="s">
        <v>14</v>
      </c>
    </row>
    <row r="10" customFormat="false" ht="96" hidden="false" customHeight="true" outlineLevel="0" collapsed="false">
      <c r="B10" s="7" t="s">
        <v>15</v>
      </c>
      <c r="C10" s="8" t="s">
        <v>16</v>
      </c>
      <c r="D10" s="8"/>
      <c r="E10" s="8"/>
      <c r="F10" s="9" t="s">
        <v>17</v>
      </c>
    </row>
    <row r="11" customFormat="false" ht="82.5" hidden="false" customHeight="true" outlineLevel="0" collapsed="false">
      <c r="B11" s="7" t="s">
        <v>18</v>
      </c>
      <c r="C11" s="8" t="s">
        <v>19</v>
      </c>
      <c r="D11" s="8"/>
      <c r="E11" s="8"/>
      <c r="F11" s="9" t="s">
        <v>20</v>
      </c>
    </row>
    <row r="13" customFormat="false" ht="24" hidden="false" customHeight="true" outlineLevel="0" collapsed="false">
      <c r="B13" s="4" t="s">
        <v>21</v>
      </c>
      <c r="C13" s="4"/>
      <c r="D13" s="4"/>
      <c r="E13" s="4"/>
      <c r="F13" s="4"/>
    </row>
    <row r="14" customFormat="false" ht="19.5" hidden="false" customHeight="true" outlineLevel="0" collapsed="false">
      <c r="B14" s="5"/>
      <c r="C14" s="5" t="s">
        <v>22</v>
      </c>
      <c r="D14" s="5" t="s">
        <v>23</v>
      </c>
      <c r="E14" s="5" t="s">
        <v>24</v>
      </c>
      <c r="F14" s="5" t="s">
        <v>25</v>
      </c>
    </row>
    <row r="15" customFormat="false" ht="15.75" hidden="false" customHeight="true" outlineLevel="0" collapsed="false">
      <c r="B15" s="7" t="s">
        <v>26</v>
      </c>
      <c r="C15" s="10" t="n">
        <f aca="false">Pricing!C15</f>
        <v>2999</v>
      </c>
      <c r="D15" s="10" t="n">
        <f aca="false">Pricing!D15</f>
        <v>7999</v>
      </c>
      <c r="E15" s="10" t="n">
        <f aca="false">Pricing!E15</f>
        <v>19999</v>
      </c>
      <c r="F15" s="11" t="s">
        <v>27</v>
      </c>
    </row>
    <row r="16" customFormat="false" ht="15.75" hidden="false" customHeight="true" outlineLevel="0" collapsed="false">
      <c r="B16" s="7" t="s">
        <v>28</v>
      </c>
      <c r="C16" s="10" t="n">
        <f aca="false">Pricing!C17</f>
        <v>3613</v>
      </c>
      <c r="D16" s="10" t="n">
        <f aca="false">Pricing!D17</f>
        <v>9637</v>
      </c>
      <c r="E16" s="10" t="n">
        <f aca="false">Pricing!E17</f>
        <v>24095</v>
      </c>
      <c r="F16" s="11" t="s">
        <v>29</v>
      </c>
    </row>
    <row r="17" customFormat="false" ht="15.75" hidden="false" customHeight="true" outlineLevel="0" collapsed="false">
      <c r="B17" s="7" t="s">
        <v>30</v>
      </c>
      <c r="C17" s="12" t="n">
        <f aca="false">Pricing!C16</f>
        <v>31</v>
      </c>
      <c r="D17" s="12" t="n">
        <f aca="false">Pricing!D16</f>
        <v>83</v>
      </c>
      <c r="E17" s="12" t="n">
        <f aca="false">Pricing!E16</f>
        <v>208</v>
      </c>
      <c r="F17" s="11" t="s">
        <v>31</v>
      </c>
    </row>
    <row r="18" customFormat="false" ht="15.75" hidden="false" customHeight="true" outlineLevel="0" collapsed="false">
      <c r="B18" s="7" t="s">
        <v>32</v>
      </c>
      <c r="C18" s="10" t="n">
        <f aca="false">Pricing!C71</f>
        <v>4000</v>
      </c>
      <c r="D18" s="10" t="n">
        <f aca="false">Pricing!D71</f>
        <v>12000</v>
      </c>
      <c r="E18" s="10" t="n">
        <f aca="false">Pricing!E71</f>
        <v>29000</v>
      </c>
      <c r="F18" s="11" t="s">
        <v>33</v>
      </c>
    </row>
    <row r="19" customFormat="false" ht="15.75" hidden="false" customHeight="true" outlineLevel="0" collapsed="false">
      <c r="B19" s="7" t="s">
        <v>34</v>
      </c>
      <c r="C19" s="10" t="n">
        <f aca="false">Pricing!C72</f>
        <v>5000</v>
      </c>
      <c r="D19" s="10" t="n">
        <f aca="false">Pricing!D72</f>
        <v>15000</v>
      </c>
      <c r="E19" s="10" t="n">
        <f aca="false">Pricing!E72</f>
        <v>39000</v>
      </c>
      <c r="F19" s="11" t="s">
        <v>33</v>
      </c>
    </row>
    <row r="20" customFormat="false" ht="15.75" hidden="false" customHeight="true" outlineLevel="0" collapsed="false">
      <c r="B20" s="7" t="s">
        <v>35</v>
      </c>
      <c r="C20" s="13" t="n">
        <f aca="false">Pricing!C57</f>
        <v>0.855618539513171</v>
      </c>
      <c r="D20" s="13" t="n">
        <f aca="false">Pricing!D57</f>
        <v>0.652456557069634</v>
      </c>
      <c r="E20" s="13" t="n">
        <f aca="false">Pricing!E57</f>
        <v>0.487474373718686</v>
      </c>
      <c r="F20" s="11" t="s">
        <v>36</v>
      </c>
    </row>
    <row r="21" customFormat="false" ht="15.75" hidden="false" customHeight="true" outlineLevel="0" collapsed="false">
      <c r="B21" s="7" t="s">
        <v>37</v>
      </c>
      <c r="C21" s="13" t="n">
        <f aca="false">Pricing!C63</f>
        <v>0.842277351709829</v>
      </c>
      <c r="D21" s="13" t="n">
        <f aca="false">Pricing!D63</f>
        <v>0.62744704199136</v>
      </c>
      <c r="E21" s="13" t="n">
        <f aca="false">Pricing!E63</f>
        <v>0.457465206593663</v>
      </c>
      <c r="F21" s="11" t="s">
        <v>38</v>
      </c>
    </row>
    <row r="22" customFormat="false" ht="15.75" hidden="false" customHeight="true" outlineLevel="0" collapsed="false">
      <c r="B22" s="7" t="s">
        <v>39</v>
      </c>
      <c r="C22" s="13" t="n">
        <f aca="false">Pricing!C66</f>
        <v>0.842277351709829</v>
      </c>
      <c r="D22" s="13" t="n">
        <f aca="false">Pricing!D66</f>
        <v>0.0648767207011988</v>
      </c>
      <c r="E22" s="13" t="n">
        <f aca="false">Pricing!E66</f>
        <v>-0.667591046218978</v>
      </c>
      <c r="F22" s="11" t="s">
        <v>40</v>
      </c>
    </row>
    <row r="24" customFormat="false" ht="24" hidden="false" customHeight="true" outlineLevel="0" collapsed="false">
      <c r="B24" s="4" t="s">
        <v>41</v>
      </c>
      <c r="C24" s="4"/>
      <c r="D24" s="4"/>
      <c r="E24" s="4"/>
      <c r="F24" s="4"/>
    </row>
    <row r="25" customFormat="false" ht="15" hidden="false" customHeight="true" outlineLevel="0" collapsed="false">
      <c r="B25" s="7" t="s">
        <v>42</v>
      </c>
      <c r="C25" s="14" t="n">
        <f aca="false">Pricing!$C$51</f>
        <v>34</v>
      </c>
      <c r="D25" s="8" t="s">
        <v>43</v>
      </c>
      <c r="E25" s="8"/>
      <c r="F25" s="8"/>
    </row>
    <row r="26" customFormat="false" ht="15" hidden="false" customHeight="true" outlineLevel="0" collapsed="false">
      <c r="B26" s="7" t="s">
        <v>44</v>
      </c>
      <c r="C26" s="15" t="n">
        <f aca="false">Pricing!$C$52</f>
        <v>0.9</v>
      </c>
      <c r="D26" s="8" t="s">
        <v>45</v>
      </c>
      <c r="E26" s="8"/>
      <c r="F26" s="8"/>
    </row>
    <row r="27" customFormat="false" ht="15" hidden="false" customHeight="true" outlineLevel="0" collapsed="false">
      <c r="B27" s="7" t="s">
        <v>46</v>
      </c>
      <c r="C27" s="16" t="n">
        <f aca="false">Pricing!$C$7</f>
        <v>0.17</v>
      </c>
      <c r="D27" s="8" t="s">
        <v>27</v>
      </c>
      <c r="E27" s="8"/>
      <c r="F27" s="8"/>
    </row>
    <row r="28" customFormat="false" ht="15" hidden="false" customHeight="true" outlineLevel="0" collapsed="false">
      <c r="B28" s="7" t="s">
        <v>47</v>
      </c>
      <c r="C28" s="17" t="n">
        <f aca="false">Pricing!$C$8</f>
        <v>96.07</v>
      </c>
      <c r="D28" s="8" t="s">
        <v>48</v>
      </c>
      <c r="E28" s="8"/>
      <c r="F28" s="8"/>
    </row>
    <row r="29" customFormat="false" ht="15" hidden="false" customHeight="true" outlineLevel="0" collapsed="false">
      <c r="B29" s="7" t="s">
        <v>49</v>
      </c>
      <c r="C29" s="18" t="n">
        <v>50</v>
      </c>
      <c r="D29" s="8" t="s">
        <v>50</v>
      </c>
      <c r="E29" s="8"/>
      <c r="F29" s="8"/>
    </row>
    <row r="31" customFormat="false" ht="24" hidden="false" customHeight="true" outlineLevel="0" collapsed="false">
      <c r="B31" s="4" t="s">
        <v>51</v>
      </c>
      <c r="C31" s="4"/>
      <c r="D31" s="4"/>
      <c r="E31" s="4"/>
      <c r="F31" s="4"/>
    </row>
    <row r="32" customFormat="false" ht="19.5" hidden="false" customHeight="true" outlineLevel="0" collapsed="false">
      <c r="B32" s="5" t="s">
        <v>52</v>
      </c>
      <c r="C32" s="19" t="s">
        <v>53</v>
      </c>
      <c r="D32" s="19"/>
      <c r="E32" s="19"/>
      <c r="F32" s="5" t="s">
        <v>54</v>
      </c>
    </row>
    <row r="33" customFormat="false" ht="15" hidden="false" customHeight="true" outlineLevel="0" collapsed="false">
      <c r="B33" s="7" t="s">
        <v>55</v>
      </c>
      <c r="C33" s="8" t="s">
        <v>56</v>
      </c>
      <c r="D33" s="8"/>
      <c r="E33" s="8"/>
      <c r="F33" s="11" t="s">
        <v>57</v>
      </c>
    </row>
    <row r="34" customFormat="false" ht="15" hidden="false" customHeight="true" outlineLevel="0" collapsed="false">
      <c r="B34" s="7" t="s">
        <v>58</v>
      </c>
      <c r="C34" s="8" t="s">
        <v>59</v>
      </c>
      <c r="D34" s="8"/>
      <c r="E34" s="8"/>
      <c r="F34" s="11" t="s">
        <v>60</v>
      </c>
    </row>
    <row r="35" customFormat="false" ht="15" hidden="false" customHeight="true" outlineLevel="0" collapsed="false">
      <c r="B35" s="7" t="s">
        <v>61</v>
      </c>
      <c r="C35" s="8" t="s">
        <v>62</v>
      </c>
      <c r="D35" s="8"/>
      <c r="E35" s="8"/>
      <c r="F35" s="11" t="s">
        <v>57</v>
      </c>
    </row>
    <row r="36" customFormat="false" ht="15" hidden="false" customHeight="true" outlineLevel="0" collapsed="false">
      <c r="B36" s="7" t="s">
        <v>63</v>
      </c>
      <c r="C36" s="8" t="s">
        <v>64</v>
      </c>
      <c r="D36" s="8"/>
      <c r="E36" s="8"/>
      <c r="F36" s="11" t="s">
        <v>65</v>
      </c>
    </row>
    <row r="37" customFormat="false" ht="15" hidden="false" customHeight="true" outlineLevel="0" collapsed="false">
      <c r="B37" s="7" t="s">
        <v>66</v>
      </c>
      <c r="C37" s="20" t="str">
        <f aca="false">"Sign-up → paid "&amp;TEXT('Planning Inputs'!$D$23,"0.0%")&amp;"; CAC ≤ ₹"&amp;TEXT('Revenue Model'!C67,"#,##0")&amp;" / ₹"&amp;TEXT('Revenue Model'!D67,"#,##0")&amp;" / ₹"&amp;TEXT('Revenue Model'!E67,"#,##0")&amp;"; churn ≤ "&amp;TEXT('Revenue Model'!C62,"0.0%")&amp;" / "&amp;TEXT('Revenue Model'!D62,"0.0%")&amp;" / "&amp;TEXT('Revenue Model'!E62,"0.0%")&amp;" a month; NRR "&amp;TEXT('Revenue Model'!C88,"0%")</f>
        <v>Sign-up → paid 10.1%; CAC ≤ ₹30,792 / ₹62,628 / ₹1,75,482; churn ≤ 3.0% / 1.5% / 0.7% a month; NRR 98%</v>
      </c>
      <c r="D37" s="20"/>
      <c r="E37" s="20"/>
      <c r="F37" s="11" t="s">
        <v>67</v>
      </c>
    </row>
    <row r="39" customFormat="false" ht="24" hidden="false" customHeight="true" outlineLevel="0" collapsed="false">
      <c r="B39" s="4" t="s">
        <v>68</v>
      </c>
      <c r="C39" s="4"/>
      <c r="D39" s="4"/>
      <c r="E39" s="4"/>
      <c r="F39" s="4"/>
    </row>
    <row r="40" customFormat="false" ht="19.5" hidden="false" customHeight="true" outlineLevel="0" collapsed="false">
      <c r="B40" s="5" t="s">
        <v>69</v>
      </c>
      <c r="C40" s="5" t="s">
        <v>70</v>
      </c>
    </row>
    <row r="41" customFormat="false" ht="15" hidden="false" customHeight="true" outlineLevel="0" collapsed="false">
      <c r="B41" s="7" t="s">
        <v>71</v>
      </c>
      <c r="C41" s="21" t="n">
        <f aca="false">COUNTIF('Assumptions &amp; Sources'!$I$6:$I$52,"Documented")</f>
        <v>27</v>
      </c>
    </row>
    <row r="42" customFormat="false" ht="15" hidden="false" customHeight="true" outlineLevel="0" collapsed="false">
      <c r="B42" s="7" t="s">
        <v>72</v>
      </c>
      <c r="C42" s="21" t="n">
        <f aca="false">COUNTIF('Assumptions &amp; Sources'!$I$6:$I$52,"Calculated")</f>
        <v>8</v>
      </c>
    </row>
    <row r="43" customFormat="false" ht="15" hidden="false" customHeight="true" outlineLevel="0" collapsed="false">
      <c r="B43" s="7" t="s">
        <v>73</v>
      </c>
      <c r="C43" s="21" t="n">
        <f aca="false">COUNTIF('Assumptions &amp; Sources'!$I$6:$I$52,"Assumption")</f>
        <v>8</v>
      </c>
    </row>
    <row r="44" customFormat="false" ht="15" hidden="false" customHeight="true" outlineLevel="0" collapsed="false">
      <c r="B44" s="7" t="s">
        <v>74</v>
      </c>
      <c r="C44" s="21" t="n">
        <f aca="false">COUNTIF('Assumptions &amp; Sources'!$I$6:$I$52,"Hypothesis")</f>
        <v>3</v>
      </c>
    </row>
    <row r="45" customFormat="false" ht="15" hidden="false" customHeight="true" outlineLevel="0" collapsed="false">
      <c r="B45" s="7" t="s">
        <v>75</v>
      </c>
      <c r="C45" s="21" t="n">
        <f aca="false">COUNTIF('Assumptions &amp; Sources'!$I$6:$I$52,"TBD")</f>
        <v>0</v>
      </c>
    </row>
    <row r="46" customFormat="false" ht="15" hidden="false" customHeight="true" outlineLevel="0" collapsed="false">
      <c r="B46" s="7" t="s">
        <v>76</v>
      </c>
      <c r="C46" s="21" t="n">
        <f aca="false">COUNTIF('Assumptions &amp; Sources'!$I$6:$I$52,"Contradicted")</f>
        <v>1</v>
      </c>
    </row>
    <row r="47" customFormat="false" ht="15" hidden="false" customHeight="true" outlineLevel="0" collapsed="false">
      <c r="B47" s="7" t="s">
        <v>77</v>
      </c>
      <c r="C47" s="21" t="n">
        <f aca="false">COUNTA('Open Items'!B6:B21)</f>
        <v>16</v>
      </c>
    </row>
    <row r="49" customFormat="false" ht="24" hidden="false" customHeight="true" outlineLevel="0" collapsed="false">
      <c r="B49" s="4" t="s">
        <v>78</v>
      </c>
      <c r="C49" s="4"/>
      <c r="D49" s="4"/>
      <c r="E49" s="4"/>
      <c r="F49" s="4"/>
    </row>
    <row r="50" customFormat="false" ht="15" hidden="false" customHeight="true" outlineLevel="0" collapsed="false">
      <c r="B50" s="7" t="s">
        <v>79</v>
      </c>
      <c r="C50" s="8" t="s">
        <v>80</v>
      </c>
      <c r="D50" s="8"/>
      <c r="E50" s="8"/>
      <c r="F50" s="8"/>
    </row>
    <row r="51" customFormat="false" ht="15" hidden="false" customHeight="true" outlineLevel="0" collapsed="false">
      <c r="B51" s="7" t="s">
        <v>81</v>
      </c>
      <c r="C51" s="8" t="s">
        <v>82</v>
      </c>
      <c r="D51" s="8"/>
      <c r="E51" s="8"/>
      <c r="F51" s="8"/>
    </row>
    <row r="52" customFormat="false" ht="15" hidden="false" customHeight="true" outlineLevel="0" collapsed="false">
      <c r="B52" s="7" t="s">
        <v>83</v>
      </c>
      <c r="C52" s="8" t="s">
        <v>84</v>
      </c>
      <c r="D52" s="8"/>
      <c r="E52" s="8"/>
      <c r="F52" s="8"/>
    </row>
    <row r="53" customFormat="false" ht="15" hidden="false" customHeight="true" outlineLevel="0" collapsed="false">
      <c r="B53" s="7" t="s">
        <v>85</v>
      </c>
      <c r="C53" s="8" t="s">
        <v>86</v>
      </c>
      <c r="D53" s="8"/>
      <c r="E53" s="8"/>
      <c r="F53" s="8"/>
    </row>
    <row r="54" customFormat="false" ht="15" hidden="false" customHeight="true" outlineLevel="0" collapsed="false">
      <c r="B54" s="7" t="s">
        <v>87</v>
      </c>
      <c r="C54" s="8" t="s">
        <v>88</v>
      </c>
      <c r="D54" s="8"/>
      <c r="E54" s="8"/>
      <c r="F54" s="8"/>
    </row>
    <row r="55" customFormat="false" ht="15" hidden="false" customHeight="true" outlineLevel="0" collapsed="false">
      <c r="B55" s="7" t="s">
        <v>89</v>
      </c>
      <c r="C55" s="8" t="s">
        <v>90</v>
      </c>
      <c r="D55" s="8"/>
      <c r="E55" s="8"/>
      <c r="F55" s="8"/>
    </row>
    <row r="56" customFormat="false" ht="15" hidden="false" customHeight="true" outlineLevel="0" collapsed="false">
      <c r="B56" s="7" t="s">
        <v>91</v>
      </c>
      <c r="C56" s="8" t="s">
        <v>92</v>
      </c>
      <c r="D56" s="8"/>
      <c r="E56" s="8"/>
      <c r="F56" s="8"/>
    </row>
    <row r="57" customFormat="false" ht="15" hidden="false" customHeight="true" outlineLevel="0" collapsed="false">
      <c r="B57" s="7" t="s">
        <v>93</v>
      </c>
      <c r="C57" s="8" t="s">
        <v>94</v>
      </c>
      <c r="D57" s="8"/>
      <c r="E57" s="8"/>
      <c r="F57" s="8"/>
    </row>
    <row r="58" customFormat="false" ht="15" hidden="false" customHeight="false" outlineLevel="0" collapsed="false">
      <c r="B58" s="22" t="s">
        <v>95</v>
      </c>
      <c r="C58" s="23" t="s">
        <v>96</v>
      </c>
    </row>
  </sheetData>
  <mergeCells count="32">
    <mergeCell ref="B3:F3"/>
    <mergeCell ref="B5:F5"/>
    <mergeCell ref="C6:E6"/>
    <mergeCell ref="C7:E7"/>
    <mergeCell ref="C8:E8"/>
    <mergeCell ref="C9:E9"/>
    <mergeCell ref="C10:E10"/>
    <mergeCell ref="C11:E11"/>
    <mergeCell ref="B13:F13"/>
    <mergeCell ref="B24:F24"/>
    <mergeCell ref="D25:F25"/>
    <mergeCell ref="D26:F26"/>
    <mergeCell ref="D27:F27"/>
    <mergeCell ref="D28:F28"/>
    <mergeCell ref="D29:F29"/>
    <mergeCell ref="B31:F31"/>
    <mergeCell ref="C32:E32"/>
    <mergeCell ref="C33:E33"/>
    <mergeCell ref="C34:E34"/>
    <mergeCell ref="C35:E35"/>
    <mergeCell ref="C36:E36"/>
    <mergeCell ref="C37:E37"/>
    <mergeCell ref="B39:F39"/>
    <mergeCell ref="B49:F49"/>
    <mergeCell ref="C50:F50"/>
    <mergeCell ref="C51:F51"/>
    <mergeCell ref="C52:F52"/>
    <mergeCell ref="C53:F53"/>
    <mergeCell ref="C54:F54"/>
    <mergeCell ref="C55:F55"/>
    <mergeCell ref="C56:F56"/>
    <mergeCell ref="C57:F57"/>
  </mergeCells>
  <conditionalFormatting sqref="C20:E22">
    <cfRule type="cellIs" priority="2" operator="lessThan" aboveAverage="0" equalAverage="0" bottom="0" percent="0" rank="0" text="" dxfId="0">
      <formula>0</formula>
    </cfRule>
  </conditionalFormatting>
  <conditionalFormatting sqref="B41:B46">
    <cfRule type="cellIs" priority="3" operator="equal" aboveAverage="0" equalAverage="0" bottom="0" percent="0" rank="0" text="" dxfId="1">
      <formula>"Documented"</formula>
    </cfRule>
    <cfRule type="cellIs" priority="4" operator="equal" aboveAverage="0" equalAverage="0" bottom="0" percent="0" rank="0" text="" dxfId="2">
      <formula>"Calculated"</formula>
    </cfRule>
    <cfRule type="cellIs" priority="5" operator="equal" aboveAverage="0" equalAverage="0" bottom="0" percent="0" rank="0" text="" dxfId="3">
      <formula>"Assumption"</formula>
    </cfRule>
    <cfRule type="cellIs" priority="6" operator="equal" aboveAverage="0" equalAverage="0" bottom="0" percent="0" rank="0" text="" dxfId="4">
      <formula>"Hypothesis"</formula>
    </cfRule>
    <cfRule type="cellIs" priority="7" operator="equal" aboveAverage="0" equalAverage="0" bottom="0" percent="0" rank="0" text="" dxfId="5">
      <formula>"TBD"</formula>
    </cfRule>
    <cfRule type="cellIs" priority="8" operator="equal" aboveAverage="0" equalAverage="0" bottom="0" percent="0" rank="0" text="" dxfId="6">
      <formula>"Contradicted"</formula>
    </cfRule>
  </conditionalFormatting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2:M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38"/>
    <col collapsed="false" customWidth="true" hidden="false" outlineLevel="0" max="6" min="6" style="1" width="42"/>
    <col collapsed="false" customWidth="true" hidden="false" outlineLevel="0" max="8" min="7" style="1" width="34"/>
    <col collapsed="false" customWidth="true" hidden="false" outlineLevel="0" max="9" min="9" style="1" width="20"/>
    <col collapsed="false" customWidth="true" hidden="false" outlineLevel="0" max="10" min="10" style="1" width="26"/>
    <col collapsed="false" customWidth="true" hidden="false" outlineLevel="0" max="11" min="11" style="1" width="22"/>
    <col collapsed="false" customWidth="true" hidden="false" outlineLevel="0" max="12" min="12" style="1" width="30"/>
    <col collapsed="false" customWidth="true" hidden="false" outlineLevel="0" max="13" min="13" style="1" width="15"/>
  </cols>
  <sheetData>
    <row r="2" customFormat="false" ht="27.75" hidden="false" customHeight="true" outlineLevel="0" collapsed="false">
      <c r="B2" s="2" t="s">
        <v>97</v>
      </c>
    </row>
    <row r="3" customFormat="false" ht="42" hidden="false" customHeight="true" outlineLevel="0" collapsed="false">
      <c r="B3" s="3" t="s">
        <v>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4" hidden="false" customHeight="true" outlineLevel="0" collapsed="false">
      <c r="B5" s="4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9.5" hidden="false" customHeight="true" outlineLevel="0" collapsed="false">
      <c r="B6" s="5" t="s">
        <v>100</v>
      </c>
      <c r="C6" s="5" t="s">
        <v>101</v>
      </c>
      <c r="D6" s="5" t="s">
        <v>102</v>
      </c>
      <c r="E6" s="5" t="s">
        <v>103</v>
      </c>
      <c r="F6" s="5" t="s">
        <v>104</v>
      </c>
      <c r="G6" s="5" t="s">
        <v>105</v>
      </c>
      <c r="H6" s="5" t="s">
        <v>106</v>
      </c>
      <c r="I6" s="5" t="s">
        <v>107</v>
      </c>
      <c r="J6" s="5" t="s">
        <v>108</v>
      </c>
      <c r="K6" s="5" t="s">
        <v>5</v>
      </c>
      <c r="L6" s="5" t="s">
        <v>109</v>
      </c>
      <c r="M6" s="5" t="s">
        <v>110</v>
      </c>
    </row>
    <row r="7" customFormat="false" ht="81.75" hidden="false" customHeight="true" outlineLevel="0" collapsed="false">
      <c r="B7" s="11" t="s">
        <v>111</v>
      </c>
      <c r="C7" s="11" t="s">
        <v>112</v>
      </c>
      <c r="D7" s="11" t="s">
        <v>113</v>
      </c>
      <c r="E7" s="11" t="s">
        <v>114</v>
      </c>
      <c r="F7" s="11" t="s">
        <v>115</v>
      </c>
      <c r="G7" s="11" t="s">
        <v>116</v>
      </c>
      <c r="H7" s="24" t="s">
        <v>117</v>
      </c>
      <c r="I7" s="24" t="s">
        <v>118</v>
      </c>
      <c r="J7" s="25" t="str">
        <f aca="false">TEXT('Planning Inputs'!$H$75,"0.00")&amp;" / 5 (rank "&amp;'Planning Inputs'!$I$75&amp;" of 6)"</f>
        <v>4.30 / 5 (rank 1 of 6)</v>
      </c>
      <c r="K7" s="11" t="s">
        <v>119</v>
      </c>
      <c r="L7" s="11" t="s">
        <v>71</v>
      </c>
      <c r="M7" s="11" t="s">
        <v>71</v>
      </c>
    </row>
    <row r="8" customFormat="false" ht="79.5" hidden="false" customHeight="true" outlineLevel="0" collapsed="false">
      <c r="B8" s="11" t="s">
        <v>120</v>
      </c>
      <c r="C8" s="11" t="s">
        <v>121</v>
      </c>
      <c r="D8" s="11" t="s">
        <v>122</v>
      </c>
      <c r="E8" s="11" t="s">
        <v>123</v>
      </c>
      <c r="F8" s="11" t="s">
        <v>124</v>
      </c>
      <c r="G8" s="11" t="s">
        <v>125</v>
      </c>
      <c r="H8" s="24" t="s">
        <v>126</v>
      </c>
      <c r="I8" s="24" t="s">
        <v>127</v>
      </c>
      <c r="J8" s="25" t="str">
        <f aca="false">TEXT('Planning Inputs'!$H$76,"0.00")&amp;" / 5 (rank "&amp;'Planning Inputs'!$I$76&amp;" of 6)"</f>
        <v>3.75 / 5 (rank 3 of 6)</v>
      </c>
      <c r="K8" s="11" t="s">
        <v>128</v>
      </c>
      <c r="L8" s="11" t="s">
        <v>71</v>
      </c>
      <c r="M8" s="11" t="s">
        <v>71</v>
      </c>
    </row>
    <row r="9" customFormat="false" ht="79.5" hidden="false" customHeight="true" outlineLevel="0" collapsed="false">
      <c r="B9" s="11" t="s">
        <v>129</v>
      </c>
      <c r="C9" s="11" t="s">
        <v>130</v>
      </c>
      <c r="D9" s="11" t="s">
        <v>131</v>
      </c>
      <c r="E9" s="11" t="s">
        <v>132</v>
      </c>
      <c r="F9" s="11" t="s">
        <v>133</v>
      </c>
      <c r="G9" s="11" t="s">
        <v>134</v>
      </c>
      <c r="H9" s="24" t="s">
        <v>135</v>
      </c>
      <c r="I9" s="24" t="s">
        <v>136</v>
      </c>
      <c r="J9" s="25" t="str">
        <f aca="false">TEXT('Planning Inputs'!$H$77,"0.00")&amp;" / 5 (rank "&amp;'Planning Inputs'!$I$77&amp;" of 6)"</f>
        <v>3.55 / 5 (rank 4 of 6)</v>
      </c>
      <c r="K9" s="11" t="s">
        <v>137</v>
      </c>
      <c r="L9" s="11" t="s">
        <v>138</v>
      </c>
      <c r="M9" s="11" t="s">
        <v>74</v>
      </c>
    </row>
    <row r="10" customFormat="false" ht="79.5" hidden="false" customHeight="true" outlineLevel="0" collapsed="false">
      <c r="B10" s="11" t="s">
        <v>139</v>
      </c>
      <c r="C10" s="11" t="s">
        <v>140</v>
      </c>
      <c r="D10" s="11" t="s">
        <v>141</v>
      </c>
      <c r="E10" s="11" t="s">
        <v>142</v>
      </c>
      <c r="F10" s="11" t="s">
        <v>143</v>
      </c>
      <c r="G10" s="24" t="s">
        <v>144</v>
      </c>
      <c r="H10" s="24" t="s">
        <v>145</v>
      </c>
      <c r="I10" s="24" t="s">
        <v>146</v>
      </c>
      <c r="J10" s="25" t="str">
        <f aca="false">TEXT('Planning Inputs'!$H$78,"0.00")&amp;" / 5 (rank "&amp;'Planning Inputs'!$I$78&amp;" of 6)"</f>
        <v>2.35 / 5 (rank 6 of 6)</v>
      </c>
      <c r="K10" s="11" t="s">
        <v>147</v>
      </c>
      <c r="L10" s="11" t="s">
        <v>148</v>
      </c>
      <c r="M10" s="24" t="s">
        <v>73</v>
      </c>
    </row>
    <row r="11" customFormat="false" ht="79.5" hidden="false" customHeight="true" outlineLevel="0" collapsed="false">
      <c r="B11" s="11" t="s">
        <v>149</v>
      </c>
      <c r="C11" s="11" t="s">
        <v>150</v>
      </c>
      <c r="D11" s="11" t="s">
        <v>151</v>
      </c>
      <c r="E11" s="11" t="s">
        <v>152</v>
      </c>
      <c r="F11" s="11" t="s">
        <v>153</v>
      </c>
      <c r="G11" s="11" t="s">
        <v>154</v>
      </c>
      <c r="H11" s="24" t="s">
        <v>155</v>
      </c>
      <c r="I11" s="24" t="s">
        <v>156</v>
      </c>
      <c r="J11" s="25" t="str">
        <f aca="false">TEXT('Planning Inputs'!$H$79,"0.00")&amp;" / 5 (rank "&amp;'Planning Inputs'!$I$79&amp;" of 6)"</f>
        <v>3.85 / 5 (rank 2 of 6)</v>
      </c>
      <c r="K11" s="11" t="s">
        <v>157</v>
      </c>
      <c r="L11" s="11" t="s">
        <v>148</v>
      </c>
      <c r="M11" s="11" t="s">
        <v>74</v>
      </c>
    </row>
    <row r="12" customFormat="false" ht="79.5" hidden="false" customHeight="true" outlineLevel="0" collapsed="false">
      <c r="B12" s="11" t="s">
        <v>158</v>
      </c>
      <c r="C12" s="11" t="s">
        <v>159</v>
      </c>
      <c r="D12" s="11" t="s">
        <v>160</v>
      </c>
      <c r="E12" s="11" t="s">
        <v>161</v>
      </c>
      <c r="F12" s="11" t="s">
        <v>162</v>
      </c>
      <c r="G12" s="11" t="s">
        <v>163</v>
      </c>
      <c r="H12" s="11" t="s">
        <v>164</v>
      </c>
      <c r="I12" s="24" t="s">
        <v>165</v>
      </c>
      <c r="J12" s="25" t="str">
        <f aca="false">TEXT('Planning Inputs'!$H$80,"0.00")&amp;" / 5 (rank "&amp;'Planning Inputs'!$I$80&amp;" of 6)"</f>
        <v>3.10 / 5 (rank 5 of 6)</v>
      </c>
      <c r="K12" s="11" t="s">
        <v>166</v>
      </c>
      <c r="L12" s="11" t="s">
        <v>138</v>
      </c>
      <c r="M12" s="11" t="s">
        <v>71</v>
      </c>
    </row>
    <row r="13" customFormat="false" ht="79.5" hidden="false" customHeight="true" outlineLevel="0" collapsed="false">
      <c r="B13" s="11" t="s">
        <v>167</v>
      </c>
      <c r="C13" s="11" t="s">
        <v>168</v>
      </c>
      <c r="D13" s="11" t="s">
        <v>169</v>
      </c>
      <c r="E13" s="11" t="s">
        <v>170</v>
      </c>
      <c r="F13" s="11" t="s">
        <v>171</v>
      </c>
      <c r="G13" s="11" t="s">
        <v>172</v>
      </c>
      <c r="H13" s="11" t="s">
        <v>173</v>
      </c>
      <c r="I13" s="11" t="s">
        <v>174</v>
      </c>
      <c r="J13" s="11" t="s">
        <v>174</v>
      </c>
      <c r="K13" s="11" t="s">
        <v>175</v>
      </c>
      <c r="L13" s="11" t="s">
        <v>138</v>
      </c>
      <c r="M13" s="11" t="s">
        <v>71</v>
      </c>
    </row>
    <row r="15" customFormat="false" ht="24" hidden="false" customHeight="true" outlineLevel="0" collapsed="false">
      <c r="B15" s="4" t="s">
        <v>176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3.25" hidden="false" customHeight="true" outlineLevel="0" collapsed="false">
      <c r="B16" s="5"/>
      <c r="C16" s="5" t="s">
        <v>177</v>
      </c>
      <c r="D16" s="5" t="s">
        <v>178</v>
      </c>
      <c r="E16" s="5" t="s">
        <v>179</v>
      </c>
      <c r="F16" s="5" t="s">
        <v>180</v>
      </c>
      <c r="G16" s="5" t="s">
        <v>110</v>
      </c>
    </row>
    <row r="17" customFormat="false" ht="42" hidden="false" customHeight="true" outlineLevel="0" collapsed="false">
      <c r="B17" s="11"/>
      <c r="C17" s="7" t="s">
        <v>22</v>
      </c>
      <c r="D17" s="26" t="str">
        <f aca="false">Pricing!C13</f>
        <v>Low</v>
      </c>
      <c r="E17" s="10" t="n">
        <f aca="false">Pricing!C15</f>
        <v>2999</v>
      </c>
      <c r="F17" s="11" t="s">
        <v>181</v>
      </c>
      <c r="G17" s="27" t="s">
        <v>73</v>
      </c>
    </row>
    <row r="18" customFormat="false" ht="42" hidden="false" customHeight="true" outlineLevel="0" collapsed="false">
      <c r="B18" s="11"/>
      <c r="C18" s="7" t="s">
        <v>23</v>
      </c>
      <c r="D18" s="26" t="str">
        <f aca="false">Pricing!D13</f>
        <v>Mid</v>
      </c>
      <c r="E18" s="10" t="n">
        <f aca="false">Pricing!D15</f>
        <v>7999</v>
      </c>
      <c r="F18" s="11" t="s">
        <v>182</v>
      </c>
      <c r="G18" s="27" t="s">
        <v>73</v>
      </c>
    </row>
    <row r="19" customFormat="false" ht="42" hidden="false" customHeight="true" outlineLevel="0" collapsed="false">
      <c r="B19" s="11"/>
      <c r="C19" s="7" t="s">
        <v>24</v>
      </c>
      <c r="D19" s="26" t="str">
        <f aca="false">Pricing!E13</f>
        <v>High</v>
      </c>
      <c r="E19" s="10" t="n">
        <f aca="false">Pricing!E15</f>
        <v>19999</v>
      </c>
      <c r="F19" s="11" t="s">
        <v>183</v>
      </c>
      <c r="G19" s="27" t="s">
        <v>73</v>
      </c>
    </row>
    <row r="20" customFormat="false" ht="30" hidden="false" customHeight="true" outlineLevel="0" collapsed="false">
      <c r="B20" s="3" t="s">
        <v>184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</sheetData>
  <autoFilter ref="B6:M13"/>
  <mergeCells count="4">
    <mergeCell ref="B3:M3"/>
    <mergeCell ref="B5:M5"/>
    <mergeCell ref="B15:M15"/>
    <mergeCell ref="B20:M20"/>
  </mergeCells>
  <conditionalFormatting sqref="M7:M13">
    <cfRule type="cellIs" priority="2" operator="equal" aboveAverage="0" equalAverage="0" bottom="0" percent="0" rank="0" text="" dxfId="1">
      <formula>"Documented"</formula>
    </cfRule>
    <cfRule type="cellIs" priority="3" operator="equal" aboveAverage="0" equalAverage="0" bottom="0" percent="0" rank="0" text="" dxfId="2">
      <formula>"Calculated"</formula>
    </cfRule>
    <cfRule type="cellIs" priority="4" operator="equal" aboveAverage="0" equalAverage="0" bottom="0" percent="0" rank="0" text="" dxfId="3">
      <formula>"Assumption"</formula>
    </cfRule>
    <cfRule type="cellIs" priority="5" operator="equal" aboveAverage="0" equalAverage="0" bottom="0" percent="0" rank="0" text="" dxfId="4">
      <formula>"Hypothesis"</formula>
    </cfRule>
    <cfRule type="cellIs" priority="6" operator="equal" aboveAverage="0" equalAverage="0" bottom="0" percent="0" rank="0" text="" dxfId="5">
      <formula>"TBD"</formula>
    </cfRule>
    <cfRule type="cellIs" priority="7" operator="equal" aboveAverage="0" equalAverage="0" bottom="0" percent="0" rank="0" text="" dxfId="6">
      <formula>"Contradicted"</formula>
    </cfRule>
  </conditionalFormatting>
  <conditionalFormatting sqref="G17:G19">
    <cfRule type="cellIs" priority="8" operator="equal" aboveAverage="0" equalAverage="0" bottom="0" percent="0" rank="0" text="" dxfId="1">
      <formula>"Documented"</formula>
    </cfRule>
    <cfRule type="cellIs" priority="9" operator="equal" aboveAverage="0" equalAverage="0" bottom="0" percent="0" rank="0" text="" dxfId="2">
      <formula>"Calculated"</formula>
    </cfRule>
    <cfRule type="cellIs" priority="10" operator="equal" aboveAverage="0" equalAverage="0" bottom="0" percent="0" rank="0" text="" dxfId="3">
      <formula>"Assumption"</formula>
    </cfRule>
    <cfRule type="cellIs" priority="11" operator="equal" aboveAverage="0" equalAverage="0" bottom="0" percent="0" rank="0" text="" dxfId="4">
      <formula>"Hypothesis"</formula>
    </cfRule>
    <cfRule type="cellIs" priority="12" operator="equal" aboveAverage="0" equalAverage="0" bottom="0" percent="0" rank="0" text="" dxfId="5">
      <formula>"TBD"</formula>
    </cfRule>
    <cfRule type="cellIs" priority="13" operator="equal" aboveAverage="0" equalAverage="0" bottom="0" percent="0" rank="0" text="" dxfId="6">
      <formula>"Contradicted"</formula>
    </cfRule>
  </conditionalFormatting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2:F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6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44"/>
  </cols>
  <sheetData>
    <row r="2" customFormat="false" ht="27.75" hidden="false" customHeight="true" outlineLevel="0" collapsed="false">
      <c r="B2" s="2" t="s">
        <v>185</v>
      </c>
    </row>
    <row r="3" customFormat="false" ht="42" hidden="false" customHeight="true" outlineLevel="0" collapsed="false">
      <c r="B3" s="3" t="s">
        <v>186</v>
      </c>
      <c r="C3" s="3"/>
      <c r="D3" s="3"/>
      <c r="E3" s="3"/>
      <c r="F3" s="3"/>
    </row>
    <row r="5" customFormat="false" ht="24" hidden="false" customHeight="true" outlineLevel="0" collapsed="false">
      <c r="B5" s="4" t="s">
        <v>187</v>
      </c>
      <c r="C5" s="4"/>
      <c r="D5" s="4"/>
      <c r="E5" s="4"/>
      <c r="F5" s="4"/>
    </row>
    <row r="6" customFormat="false" ht="19.5" hidden="false" customHeight="true" outlineLevel="0" collapsed="false">
      <c r="B6" s="5" t="s">
        <v>188</v>
      </c>
      <c r="C6" s="5" t="s">
        <v>189</v>
      </c>
      <c r="D6" s="5" t="s">
        <v>110</v>
      </c>
      <c r="E6" s="5" t="s">
        <v>5</v>
      </c>
      <c r="F6" s="5" t="s">
        <v>190</v>
      </c>
    </row>
    <row r="7" customFormat="false" ht="42" hidden="false" customHeight="true" outlineLevel="0" collapsed="false">
      <c r="B7" s="7" t="s">
        <v>191</v>
      </c>
      <c r="C7" s="11" t="s">
        <v>192</v>
      </c>
      <c r="D7" s="27" t="s">
        <v>71</v>
      </c>
      <c r="E7" s="11" t="s">
        <v>128</v>
      </c>
      <c r="F7" s="11" t="s">
        <v>193</v>
      </c>
    </row>
    <row r="8" customFormat="false" ht="42" hidden="false" customHeight="true" outlineLevel="0" collapsed="false">
      <c r="B8" s="7" t="s">
        <v>194</v>
      </c>
      <c r="C8" s="11" t="s">
        <v>195</v>
      </c>
      <c r="D8" s="27" t="s">
        <v>71</v>
      </c>
      <c r="E8" s="11" t="s">
        <v>14</v>
      </c>
      <c r="F8" s="11"/>
    </row>
    <row r="9" customFormat="false" ht="42" hidden="false" customHeight="true" outlineLevel="0" collapsed="false">
      <c r="B9" s="7" t="s">
        <v>196</v>
      </c>
      <c r="C9" s="11" t="s">
        <v>197</v>
      </c>
      <c r="D9" s="27" t="s">
        <v>74</v>
      </c>
      <c r="E9" s="11" t="s">
        <v>198</v>
      </c>
      <c r="F9" s="11" t="s">
        <v>199</v>
      </c>
    </row>
    <row r="10" customFormat="false" ht="15.75" hidden="false" customHeight="true" outlineLevel="0" collapsed="false">
      <c r="B10" s="7" t="s">
        <v>200</v>
      </c>
      <c r="C10" s="24" t="s">
        <v>201</v>
      </c>
      <c r="D10" s="24" t="s">
        <v>73</v>
      </c>
      <c r="E10" s="11" t="s">
        <v>202</v>
      </c>
      <c r="F10" s="24" t="s">
        <v>203</v>
      </c>
    </row>
    <row r="11" customFormat="false" ht="15.75" hidden="false" customHeight="true" outlineLevel="0" collapsed="false">
      <c r="B11" s="7" t="s">
        <v>204</v>
      </c>
      <c r="C11" s="24" t="s">
        <v>205</v>
      </c>
      <c r="D11" s="24" t="s">
        <v>73</v>
      </c>
      <c r="E11" s="11" t="s">
        <v>202</v>
      </c>
      <c r="F11" s="11"/>
    </row>
    <row r="12" customFormat="false" ht="15.75" hidden="false" customHeight="true" outlineLevel="0" collapsed="false">
      <c r="B12" s="7" t="s">
        <v>206</v>
      </c>
      <c r="C12" s="25" t="str">
        <f aca="false">'Planning Inputs'!$D$10</f>
        <v>Self-serve trial and web checkout for Starter and Pro; founder-led sales for Enterprise, CSR and funder buyers. No resellers in year 1.</v>
      </c>
      <c r="D12" s="24" t="s">
        <v>73</v>
      </c>
      <c r="E12" s="11" t="s">
        <v>202</v>
      </c>
      <c r="F12" s="11"/>
    </row>
    <row r="13" customFormat="false" ht="42" hidden="false" customHeight="true" outlineLevel="0" collapsed="false">
      <c r="B13" s="7" t="s">
        <v>207</v>
      </c>
      <c r="C13" s="11" t="s">
        <v>208</v>
      </c>
      <c r="D13" s="27" t="s">
        <v>73</v>
      </c>
      <c r="E13" s="11" t="s">
        <v>209</v>
      </c>
      <c r="F13" s="11" t="s">
        <v>210</v>
      </c>
    </row>
    <row r="14" customFormat="false" ht="42" hidden="false" customHeight="true" outlineLevel="0" collapsed="false">
      <c r="B14" s="7" t="s">
        <v>211</v>
      </c>
      <c r="C14" s="11" t="s">
        <v>212</v>
      </c>
      <c r="D14" s="27" t="s">
        <v>71</v>
      </c>
      <c r="E14" s="11" t="s">
        <v>213</v>
      </c>
      <c r="F14" s="11" t="s">
        <v>214</v>
      </c>
    </row>
    <row r="15" customFormat="false" ht="29.25" hidden="false" customHeight="true" outlineLevel="0" collapsed="false">
      <c r="B15" s="7" t="s">
        <v>215</v>
      </c>
      <c r="C15" s="11" t="s">
        <v>216</v>
      </c>
      <c r="D15" s="27" t="s">
        <v>71</v>
      </c>
      <c r="E15" s="11" t="s">
        <v>217</v>
      </c>
      <c r="F15" s="11"/>
    </row>
    <row r="16" customFormat="false" ht="42" hidden="false" customHeight="true" outlineLevel="0" collapsed="false">
      <c r="B16" s="7" t="s">
        <v>218</v>
      </c>
      <c r="C16" s="11" t="s">
        <v>219</v>
      </c>
      <c r="D16" s="27" t="s">
        <v>74</v>
      </c>
      <c r="E16" s="11" t="s">
        <v>220</v>
      </c>
      <c r="F16" s="11" t="s">
        <v>221</v>
      </c>
    </row>
    <row r="17" customFormat="false" ht="29.25" hidden="false" customHeight="true" outlineLevel="0" collapsed="false">
      <c r="B17" s="7" t="s">
        <v>222</v>
      </c>
      <c r="C17" s="25" t="str">
        <f aca="false">'Planning Inputs'!$D$8</f>
        <v>India first: INR billing with GST invoices and Razorpay checkout. English-speaking international NGOs billed in USD (indicative prices on Pricing) once a USD checkout exists.</v>
      </c>
      <c r="D17" s="24" t="s">
        <v>73</v>
      </c>
      <c r="E17" s="11" t="s">
        <v>223</v>
      </c>
      <c r="F17" s="11" t="s">
        <v>224</v>
      </c>
    </row>
    <row r="18" customFormat="false" ht="42" hidden="false" customHeight="true" outlineLevel="0" collapsed="false">
      <c r="B18" s="7" t="s">
        <v>225</v>
      </c>
      <c r="C18" s="11" t="s">
        <v>226</v>
      </c>
      <c r="D18" s="27" t="s">
        <v>71</v>
      </c>
      <c r="E18" s="11" t="s">
        <v>227</v>
      </c>
      <c r="F18" s="11" t="s">
        <v>228</v>
      </c>
    </row>
    <row r="19" customFormat="false" ht="42" hidden="false" customHeight="true" outlineLevel="0" collapsed="false">
      <c r="B19" s="7" t="s">
        <v>229</v>
      </c>
      <c r="C19" s="11" t="s">
        <v>230</v>
      </c>
      <c r="D19" s="27" t="s">
        <v>74</v>
      </c>
      <c r="E19" s="11" t="s">
        <v>231</v>
      </c>
      <c r="F19" s="11" t="s">
        <v>232</v>
      </c>
    </row>
    <row r="21" customFormat="false" ht="24" hidden="false" customHeight="true" outlineLevel="0" collapsed="false">
      <c r="B21" s="4" t="s">
        <v>233</v>
      </c>
      <c r="C21" s="4"/>
      <c r="D21" s="4"/>
      <c r="E21" s="4"/>
      <c r="F21" s="4"/>
    </row>
    <row r="22" customFormat="false" ht="19.5" hidden="false" customHeight="true" outlineLevel="0" collapsed="false">
      <c r="B22" s="5" t="s">
        <v>234</v>
      </c>
      <c r="C22" s="5" t="s">
        <v>235</v>
      </c>
      <c r="D22" s="5" t="s">
        <v>236</v>
      </c>
      <c r="E22" s="5" t="s">
        <v>237</v>
      </c>
      <c r="F22" s="5" t="s">
        <v>238</v>
      </c>
    </row>
    <row r="23" customFormat="false" ht="15.75" hidden="false" customHeight="true" outlineLevel="0" collapsed="false">
      <c r="B23" s="7" t="s">
        <v>239</v>
      </c>
      <c r="C23" s="24" t="s">
        <v>240</v>
      </c>
      <c r="D23" s="28" t="n">
        <f aca="false">D24/'Planning Inputs'!$D$16</f>
        <v>22772.5517522847</v>
      </c>
      <c r="E23" s="29" t="n">
        <f aca="false">IF(AND(ISNUMBER(D23),ISNUMBER(D24),N(D23)&gt;0),D24/D23,"n/a")</f>
        <v>0.025</v>
      </c>
      <c r="F23" s="24" t="str">
        <f aca="false">"Target: "&amp;TEXT(D23,"#,##0")&amp;" site visits in 12 months at "&amp;TEXT('Planning Inputs'!$D$16,"0.0%")&amp;" visit → sign-up."</f>
        <v>Target: 22,773 site visits in 12 months at 2.5% visit → sign-up.</v>
      </c>
    </row>
    <row r="24" customFormat="false" ht="29.25" hidden="false" customHeight="true" outlineLevel="0" collapsed="false">
      <c r="B24" s="7" t="s">
        <v>241</v>
      </c>
      <c r="C24" s="11" t="s">
        <v>242</v>
      </c>
      <c r="D24" s="28" t="n">
        <f aca="false">'Planning Inputs'!$D$14*((1+'Planning Inputs'!$D$15)^12-1)/'Planning Inputs'!$D$15</f>
        <v>569.313793807118</v>
      </c>
      <c r="E24" s="29" t="n">
        <f aca="false">IF(AND(ISNUMBER(D24),ISNUMBER(D25),N(D24)&gt;0),D25/D24,"n/a")</f>
        <v>0.7</v>
      </c>
      <c r="F24" s="11" t="s">
        <v>243</v>
      </c>
    </row>
    <row r="25" customFormat="false" ht="29.25" hidden="false" customHeight="true" outlineLevel="0" collapsed="false">
      <c r="B25" s="7" t="s">
        <v>244</v>
      </c>
      <c r="C25" s="11" t="s">
        <v>245</v>
      </c>
      <c r="D25" s="28" t="n">
        <f aca="false">D24*'Planning Inputs'!$D$17</f>
        <v>398.519655664982</v>
      </c>
      <c r="E25" s="29" t="n">
        <f aca="false">IF(AND(ISNUMBER(D25),ISNUMBER(D26),N(D25)&gt;0),D26/D25,"n/a")</f>
        <v>0.95</v>
      </c>
      <c r="F25" s="11" t="s">
        <v>246</v>
      </c>
    </row>
    <row r="26" customFormat="false" ht="42" hidden="false" customHeight="true" outlineLevel="0" collapsed="false">
      <c r="B26" s="7" t="s">
        <v>247</v>
      </c>
      <c r="C26" s="11" t="s">
        <v>248</v>
      </c>
      <c r="D26" s="28" t="n">
        <f aca="false">D25*'Planning Inputs'!$D$18</f>
        <v>378.593672881733</v>
      </c>
      <c r="E26" s="29" t="n">
        <f aca="false">IF(AND(ISNUMBER(D26),ISNUMBER(D27),N(D26)&gt;0),D27/D26,"n/a")</f>
        <v>0.7</v>
      </c>
      <c r="F26" s="11" t="s">
        <v>249</v>
      </c>
    </row>
    <row r="27" customFormat="false" ht="29.25" hidden="false" customHeight="true" outlineLevel="0" collapsed="false">
      <c r="B27" s="7" t="s">
        <v>250</v>
      </c>
      <c r="C27" s="11" t="s">
        <v>251</v>
      </c>
      <c r="D27" s="28" t="n">
        <f aca="false">D26*'Planning Inputs'!$D$19</f>
        <v>265.015571017213</v>
      </c>
      <c r="E27" s="29" t="n">
        <f aca="false">IF(AND(ISNUMBER(D27),ISNUMBER(D28),N(D27)&gt;0),D28/D27,"n/a")</f>
        <v>0.6</v>
      </c>
      <c r="F27" s="24" t="s">
        <v>252</v>
      </c>
    </row>
    <row r="28" customFormat="false" ht="42" hidden="false" customHeight="true" outlineLevel="0" collapsed="false">
      <c r="B28" s="7" t="s">
        <v>253</v>
      </c>
      <c r="C28" s="11" t="s">
        <v>254</v>
      </c>
      <c r="D28" s="28" t="n">
        <f aca="false">D27*'Planning Inputs'!$D$20</f>
        <v>159.009342610328</v>
      </c>
      <c r="E28" s="29" t="n">
        <f aca="false">IF(AND(ISNUMBER(D28),ISNUMBER(D29),N(D28)&gt;0),D29/D28,"n/a")</f>
        <v>0.6</v>
      </c>
      <c r="F28" s="11" t="s">
        <v>255</v>
      </c>
    </row>
    <row r="29" customFormat="false" ht="29.25" hidden="false" customHeight="true" outlineLevel="0" collapsed="false">
      <c r="B29" s="7" t="s">
        <v>256</v>
      </c>
      <c r="C29" s="11" t="s">
        <v>257</v>
      </c>
      <c r="D29" s="28" t="n">
        <f aca="false">D28*'Planning Inputs'!$D$21</f>
        <v>95.4056055661967</v>
      </c>
      <c r="E29" s="29" t="n">
        <f aca="false">IF(AND(ISNUMBER(D29),ISNUMBER(D30),N(D29)&gt;0),D30/D29,"n/a")</f>
        <v>0.6</v>
      </c>
      <c r="F29" s="11" t="s">
        <v>258</v>
      </c>
    </row>
    <row r="30" customFormat="false" ht="29.25" hidden="false" customHeight="true" outlineLevel="0" collapsed="false">
      <c r="B30" s="7" t="s">
        <v>259</v>
      </c>
      <c r="C30" s="24" t="s">
        <v>260</v>
      </c>
      <c r="D30" s="28" t="n">
        <f aca="false">D29*'Planning Inputs'!$D$22</f>
        <v>57.243363339718</v>
      </c>
      <c r="E30" s="29" t="n">
        <f aca="false">IF(AND(ISNUMBER(D30),ISNUMBER(D31),N(D30)&gt;0),D31/D30,"n/a")</f>
        <v>0.903828463393792</v>
      </c>
      <c r="F30" s="24" t="str">
        <f aca="false">"Target: "&amp;TEXT(D30,"0")&amp;" new paying orgs in 12 months = "&amp;TEXT('Planning Inputs'!$D$23,"0.0%")&amp;" of sign-ups (opt-in trial benchmark 8–22%, median 14%)."</f>
        <v>Target: 57 new paying orgs in 12 months = 10.1% of sign-ups (opt-in trial benchmark 8–22%, median 14%).</v>
      </c>
    </row>
    <row r="31" customFormat="false" ht="29.25" hidden="false" customHeight="true" outlineLevel="0" collapsed="false">
      <c r="B31" s="7" t="s">
        <v>261</v>
      </c>
      <c r="C31" s="11" t="s">
        <v>262</v>
      </c>
      <c r="D31" s="30" t="n">
        <f aca="false">'Revenue Model'!O48</f>
        <v>51.7381811268299</v>
      </c>
      <c r="E31" s="31" t="s">
        <v>174</v>
      </c>
      <c r="F31" s="11" t="s">
        <v>263</v>
      </c>
    </row>
    <row r="32" customFormat="false" ht="27.75" hidden="false" customHeight="true" outlineLevel="0" collapsed="false">
      <c r="B32" s="3" t="s">
        <v>264</v>
      </c>
      <c r="C32" s="3"/>
      <c r="D32" s="3"/>
      <c r="E32" s="3"/>
      <c r="F32" s="3"/>
    </row>
    <row r="34" customFormat="false" ht="24" hidden="false" customHeight="true" outlineLevel="0" collapsed="false">
      <c r="B34" s="4" t="s">
        <v>265</v>
      </c>
      <c r="C34" s="4"/>
      <c r="D34" s="4"/>
      <c r="E34" s="4"/>
      <c r="F34" s="4"/>
    </row>
    <row r="35" customFormat="false" ht="19.5" hidden="false" customHeight="true" outlineLevel="0" collapsed="false">
      <c r="B35" s="5" t="s">
        <v>266</v>
      </c>
      <c r="C35" s="5" t="s">
        <v>267</v>
      </c>
      <c r="D35" s="5" t="s">
        <v>110</v>
      </c>
      <c r="E35" s="5" t="s">
        <v>268</v>
      </c>
      <c r="F35" s="5" t="s">
        <v>5</v>
      </c>
    </row>
    <row r="36" customFormat="false" ht="29.25" hidden="false" customHeight="true" outlineLevel="0" collapsed="false">
      <c r="B36" s="7" t="s">
        <v>269</v>
      </c>
      <c r="C36" s="11" t="s">
        <v>270</v>
      </c>
      <c r="D36" s="27" t="s">
        <v>71</v>
      </c>
      <c r="E36" s="24" t="str">
        <f aca="false">"In effect from "&amp;TEXT('Planning Inputs'!$D$9,"d mmm yyyy")&amp;" (planning start)."</f>
        <v>In effect from 1 Oct 2026 (planning start).</v>
      </c>
      <c r="F36" s="11" t="s">
        <v>271</v>
      </c>
    </row>
    <row r="37" customFormat="false" ht="29.25" hidden="false" customHeight="true" outlineLevel="0" collapsed="false">
      <c r="B37" s="7" t="s">
        <v>272</v>
      </c>
      <c r="C37" s="11" t="s">
        <v>273</v>
      </c>
      <c r="D37" s="27" t="s">
        <v>74</v>
      </c>
      <c r="E37" s="11" t="s">
        <v>274</v>
      </c>
      <c r="F37" s="11" t="s">
        <v>220</v>
      </c>
    </row>
    <row r="38" customFormat="false" ht="42" hidden="false" customHeight="true" outlineLevel="0" collapsed="false">
      <c r="B38" s="7" t="s">
        <v>275</v>
      </c>
      <c r="C38" s="11" t="s">
        <v>276</v>
      </c>
      <c r="D38" s="27" t="s">
        <v>71</v>
      </c>
      <c r="E38" s="24" t="str">
        <f aca="false">"50 paying orgs + public API pilot + funder-verification pilots closed. Modelled 50-org date: "&amp;IF(ISNUMBER('Revenue Model'!C92),TEXT('Revenue Model'!C92,"mmm yyyy"),'Revenue Model'!C92)&amp;"."</f>
        <v>50 paying orgs + public API pilot + funder-verification pilots closed. Modelled 50-org date: Sep 2027.</v>
      </c>
      <c r="F38" s="11" t="s">
        <v>277</v>
      </c>
    </row>
    <row r="40" customFormat="false" ht="24" hidden="false" customHeight="true" outlineLevel="0" collapsed="false">
      <c r="B40" s="4" t="s">
        <v>278</v>
      </c>
      <c r="C40" s="4"/>
      <c r="D40" s="4"/>
      <c r="E40" s="4"/>
      <c r="F40" s="4"/>
    </row>
    <row r="41" customFormat="false" ht="19.5" hidden="false" customHeight="true" outlineLevel="0" collapsed="false">
      <c r="B41" s="5" t="s">
        <v>52</v>
      </c>
      <c r="C41" s="5" t="s">
        <v>279</v>
      </c>
      <c r="D41" s="5" t="s">
        <v>69</v>
      </c>
      <c r="E41" s="5" t="s">
        <v>53</v>
      </c>
      <c r="F41" s="5" t="s">
        <v>5</v>
      </c>
    </row>
    <row r="42" customFormat="false" ht="15.75" hidden="false" customHeight="true" outlineLevel="0" collapsed="false">
      <c r="B42" s="7" t="s">
        <v>55</v>
      </c>
      <c r="C42" s="11" t="s">
        <v>280</v>
      </c>
      <c r="D42" s="27" t="s">
        <v>71</v>
      </c>
      <c r="E42" s="11" t="s">
        <v>56</v>
      </c>
      <c r="F42" s="11" t="s">
        <v>281</v>
      </c>
    </row>
    <row r="43" customFormat="false" ht="29.25" hidden="false" customHeight="true" outlineLevel="0" collapsed="false">
      <c r="B43" s="7" t="s">
        <v>282</v>
      </c>
      <c r="C43" s="11" t="s">
        <v>283</v>
      </c>
      <c r="D43" s="27" t="s">
        <v>71</v>
      </c>
      <c r="E43" s="11" t="s">
        <v>59</v>
      </c>
      <c r="F43" s="11" t="s">
        <v>284</v>
      </c>
    </row>
    <row r="44" customFormat="false" ht="15.75" hidden="false" customHeight="true" outlineLevel="0" collapsed="false">
      <c r="B44" s="7" t="s">
        <v>61</v>
      </c>
      <c r="C44" s="11" t="s">
        <v>285</v>
      </c>
      <c r="D44" s="27" t="s">
        <v>71</v>
      </c>
      <c r="E44" s="11" t="s">
        <v>62</v>
      </c>
      <c r="F44" s="11" t="s">
        <v>281</v>
      </c>
    </row>
    <row r="45" customFormat="false" ht="15.75" hidden="false" customHeight="true" outlineLevel="0" collapsed="false">
      <c r="B45" s="7" t="s">
        <v>286</v>
      </c>
      <c r="C45" s="11" t="s">
        <v>287</v>
      </c>
      <c r="D45" s="27" t="s">
        <v>71</v>
      </c>
      <c r="E45" s="11" t="s">
        <v>288</v>
      </c>
      <c r="F45" s="11" t="s">
        <v>289</v>
      </c>
    </row>
    <row r="46" customFormat="false" ht="15.75" hidden="false" customHeight="true" outlineLevel="0" collapsed="false">
      <c r="B46" s="7" t="s">
        <v>290</v>
      </c>
      <c r="C46" s="11" t="s">
        <v>291</v>
      </c>
      <c r="D46" s="27" t="s">
        <v>71</v>
      </c>
      <c r="E46" s="11" t="s">
        <v>292</v>
      </c>
      <c r="F46" s="11" t="s">
        <v>293</v>
      </c>
    </row>
    <row r="47" customFormat="false" ht="15.75" hidden="false" customHeight="true" outlineLevel="0" collapsed="false">
      <c r="B47" s="7" t="s">
        <v>294</v>
      </c>
      <c r="C47" s="11" t="s">
        <v>295</v>
      </c>
      <c r="D47" s="27" t="s">
        <v>72</v>
      </c>
      <c r="E47" s="24" t="str">
        <f aca="false">"≥ "&amp;TEXT('Revenue Model'!O56,"0.0%")&amp;" blended at M12 (scenario); floor "&amp;TEXT(MIN(Pricing!C57:E57),"0.0%")&amp;" (Enterprise)."</f>
        <v>≥ 64.1% blended at M12 (scenario); floor 48.7% (Enterprise).</v>
      </c>
      <c r="F47" s="11" t="s">
        <v>296</v>
      </c>
    </row>
    <row r="48" customFormat="false" ht="15.75" hidden="false" customHeight="true" outlineLevel="0" collapsed="false">
      <c r="B48" s="7" t="s">
        <v>297</v>
      </c>
      <c r="C48" s="11" t="s">
        <v>298</v>
      </c>
      <c r="D48" s="27" t="s">
        <v>73</v>
      </c>
      <c r="E48" s="24" t="str">
        <f aca="false">TEXT('Planning Inputs'!$D$17,"0%")&amp;" of new orgs upload within the trial."</f>
        <v>70% of new orgs upload within the trial.</v>
      </c>
      <c r="F48" s="11" t="s">
        <v>299</v>
      </c>
    </row>
    <row r="49" customFormat="false" ht="29.25" hidden="false" customHeight="true" outlineLevel="0" collapsed="false">
      <c r="B49" s="7" t="s">
        <v>300</v>
      </c>
      <c r="C49" s="11" t="s">
        <v>301</v>
      </c>
      <c r="D49" s="27" t="s">
        <v>73</v>
      </c>
      <c r="E49" s="24" t="str">
        <f aca="false">TEXT(D28/D24,"0.0%")&amp;" of sign-ups (analysed asset + report)."</f>
        <v>27.9% of sign-ups (analysed asset + report).</v>
      </c>
      <c r="F49" s="11" t="s">
        <v>299</v>
      </c>
    </row>
    <row r="50" customFormat="false" ht="15.75" hidden="false" customHeight="true" outlineLevel="0" collapsed="false">
      <c r="B50" s="7" t="s">
        <v>302</v>
      </c>
      <c r="C50" s="11" t="s">
        <v>303</v>
      </c>
      <c r="D50" s="27" t="s">
        <v>73</v>
      </c>
      <c r="E50" s="24" t="str">
        <f aca="false">TEXT('Planning Inputs'!$D$23,"0.0%")&amp;" of sign-ups (benchmark median 14%)."</f>
        <v>10.1% of sign-ups (benchmark median 14%).</v>
      </c>
      <c r="F50" s="11" t="s">
        <v>299</v>
      </c>
    </row>
    <row r="51" customFormat="false" ht="15.75" hidden="false" customHeight="true" outlineLevel="0" collapsed="false">
      <c r="B51" s="7" t="s">
        <v>304</v>
      </c>
      <c r="C51" s="11" t="s">
        <v>305</v>
      </c>
      <c r="D51" s="27" t="s">
        <v>73</v>
      </c>
      <c r="E51" s="24" t="str">
        <f aca="false">"Payback ≤ 12 / 12 / 18 months → CAC ≤ ₹"&amp;TEXT('Revenue Model'!C67,"#,##0")&amp;" / ₹"&amp;TEXT('Revenue Model'!D67,"#,##0")&amp;" / ₹"&amp;TEXT('Revenue Model'!E67,"#,##0")&amp;" (Starter / Pro / Enterprise)."</f>
        <v>Payback ≤ 12 / 12 / 18 months → CAC ≤ ₹30,792 / ₹62,628 / ₹1,75,482 (Starter / Pro / Enterprise).</v>
      </c>
      <c r="F51" s="11" t="s">
        <v>299</v>
      </c>
    </row>
    <row r="52" customFormat="false" ht="15.75" hidden="false" customHeight="true" outlineLevel="0" collapsed="false">
      <c r="B52" s="7" t="s">
        <v>306</v>
      </c>
      <c r="C52" s="11" t="s">
        <v>307</v>
      </c>
      <c r="D52" s="27" t="s">
        <v>73</v>
      </c>
      <c r="E52" s="24" t="str">
        <f aca="false">"Churn ≤ "&amp;TEXT('Revenue Model'!C62,"0.0%")&amp;" / "&amp;TEXT('Revenue Model'!D62,"0.0%")&amp;" / "&amp;TEXT('Revenue Model'!E62,"0.0%")&amp;" a month; NRR ≥ "&amp;TEXT('Revenue Model'!C88,"0%")&amp;" (12-month, scenario)."</f>
        <v>Churn ≤ 3.0% / 1.5% / 0.7% a month; NRR ≥ 98% (12-month, scenario).</v>
      </c>
      <c r="F52" s="11" t="s">
        <v>299</v>
      </c>
    </row>
  </sheetData>
  <mergeCells count="6">
    <mergeCell ref="B3:F3"/>
    <mergeCell ref="B5:F5"/>
    <mergeCell ref="B21:F21"/>
    <mergeCell ref="B32:F32"/>
    <mergeCell ref="B34:F34"/>
    <mergeCell ref="B40:F40"/>
  </mergeCells>
  <conditionalFormatting sqref="D7:D19">
    <cfRule type="cellIs" priority="2" operator="equal" aboveAverage="0" equalAverage="0" bottom="0" percent="0" rank="0" text="" dxfId="1">
      <formula>"Documented"</formula>
    </cfRule>
    <cfRule type="cellIs" priority="3" operator="equal" aboveAverage="0" equalAverage="0" bottom="0" percent="0" rank="0" text="" dxfId="2">
      <formula>"Calculated"</formula>
    </cfRule>
    <cfRule type="cellIs" priority="4" operator="equal" aboveAverage="0" equalAverage="0" bottom="0" percent="0" rank="0" text="" dxfId="3">
      <formula>"Assumption"</formula>
    </cfRule>
    <cfRule type="cellIs" priority="5" operator="equal" aboveAverage="0" equalAverage="0" bottom="0" percent="0" rank="0" text="" dxfId="4">
      <formula>"Hypothesis"</formula>
    </cfRule>
    <cfRule type="cellIs" priority="6" operator="equal" aboveAverage="0" equalAverage="0" bottom="0" percent="0" rank="0" text="" dxfId="5">
      <formula>"TBD"</formula>
    </cfRule>
    <cfRule type="cellIs" priority="7" operator="equal" aboveAverage="0" equalAverage="0" bottom="0" percent="0" rank="0" text="" dxfId="6">
      <formula>"Contradicted"</formula>
    </cfRule>
  </conditionalFormatting>
  <conditionalFormatting sqref="D36:D38">
    <cfRule type="cellIs" priority="8" operator="equal" aboveAverage="0" equalAverage="0" bottom="0" percent="0" rank="0" text="" dxfId="1">
      <formula>"Documented"</formula>
    </cfRule>
    <cfRule type="cellIs" priority="9" operator="equal" aboveAverage="0" equalAverage="0" bottom="0" percent="0" rank="0" text="" dxfId="2">
      <formula>"Calculated"</formula>
    </cfRule>
    <cfRule type="cellIs" priority="10" operator="equal" aboveAverage="0" equalAverage="0" bottom="0" percent="0" rank="0" text="" dxfId="3">
      <formula>"Assumption"</formula>
    </cfRule>
    <cfRule type="cellIs" priority="11" operator="equal" aboveAverage="0" equalAverage="0" bottom="0" percent="0" rank="0" text="" dxfId="4">
      <formula>"Hypothesis"</formula>
    </cfRule>
    <cfRule type="cellIs" priority="12" operator="equal" aboveAverage="0" equalAverage="0" bottom="0" percent="0" rank="0" text="" dxfId="5">
      <formula>"TBD"</formula>
    </cfRule>
    <cfRule type="cellIs" priority="13" operator="equal" aboveAverage="0" equalAverage="0" bottom="0" percent="0" rank="0" text="" dxfId="6">
      <formula>"Contradicted"</formula>
    </cfRule>
  </conditionalFormatting>
  <conditionalFormatting sqref="D42:D52">
    <cfRule type="cellIs" priority="14" operator="equal" aboveAverage="0" equalAverage="0" bottom="0" percent="0" rank="0" text="" dxfId="1">
      <formula>"Documented"</formula>
    </cfRule>
    <cfRule type="cellIs" priority="15" operator="equal" aboveAverage="0" equalAverage="0" bottom="0" percent="0" rank="0" text="" dxfId="2">
      <formula>"Calculated"</formula>
    </cfRule>
    <cfRule type="cellIs" priority="16" operator="equal" aboveAverage="0" equalAverage="0" bottom="0" percent="0" rank="0" text="" dxfId="4">
      <formula>"Proposed"</formula>
    </cfRule>
  </conditionalFormatting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2:F8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5" min="3" style="1" width="20"/>
    <col collapsed="false" customWidth="true" hidden="false" outlineLevel="0" max="6" min="6" style="1" width="74"/>
  </cols>
  <sheetData>
    <row r="2" customFormat="false" ht="27.75" hidden="false" customHeight="true" outlineLevel="0" collapsed="false">
      <c r="B2" s="2" t="s">
        <v>308</v>
      </c>
    </row>
    <row r="3" customFormat="false" ht="30" hidden="false" customHeight="true" outlineLevel="0" collapsed="false">
      <c r="B3" s="3" t="s">
        <v>309</v>
      </c>
      <c r="C3" s="3"/>
      <c r="D3" s="3"/>
      <c r="E3" s="3"/>
      <c r="F3" s="3"/>
    </row>
    <row r="5" customFormat="false" ht="24" hidden="false" customHeight="true" outlineLevel="0" collapsed="false">
      <c r="B5" s="4" t="s">
        <v>310</v>
      </c>
      <c r="C5" s="4"/>
      <c r="D5" s="4"/>
      <c r="E5" s="4"/>
      <c r="F5" s="4"/>
    </row>
    <row r="6" customFormat="false" ht="19.5" hidden="false" customHeight="true" outlineLevel="0" collapsed="false">
      <c r="B6" s="5" t="s">
        <v>311</v>
      </c>
      <c r="C6" s="19" t="s">
        <v>312</v>
      </c>
      <c r="D6" s="19"/>
      <c r="E6" s="19"/>
      <c r="F6" s="5" t="s">
        <v>54</v>
      </c>
    </row>
    <row r="7" customFormat="false" ht="15.75" hidden="false" customHeight="true" outlineLevel="0" collapsed="false">
      <c r="B7" s="7" t="s">
        <v>46</v>
      </c>
      <c r="C7" s="32" t="n">
        <v>0.17</v>
      </c>
      <c r="D7" s="32"/>
      <c r="E7" s="32"/>
      <c r="F7" s="11" t="s">
        <v>313</v>
      </c>
    </row>
    <row r="8" customFormat="false" ht="29.25" hidden="false" customHeight="true" outlineLevel="0" collapsed="false">
      <c r="B8" s="7" t="s">
        <v>47</v>
      </c>
      <c r="C8" s="33" t="n">
        <v>96.07</v>
      </c>
      <c r="D8" s="33"/>
      <c r="E8" s="33"/>
      <c r="F8" s="11" t="s">
        <v>314</v>
      </c>
    </row>
    <row r="9" customFormat="false" ht="29.25" hidden="false" customHeight="true" outlineLevel="0" collapsed="false">
      <c r="B9" s="7" t="s">
        <v>315</v>
      </c>
      <c r="C9" s="34" t="s">
        <v>316</v>
      </c>
      <c r="D9" s="34"/>
      <c r="E9" s="34"/>
      <c r="F9" s="11" t="s">
        <v>317</v>
      </c>
    </row>
    <row r="11" customFormat="false" ht="24" hidden="false" customHeight="true" outlineLevel="0" collapsed="false">
      <c r="B11" s="4" t="s">
        <v>318</v>
      </c>
      <c r="C11" s="4"/>
      <c r="D11" s="4"/>
      <c r="E11" s="4"/>
      <c r="F11" s="4"/>
    </row>
    <row r="12" customFormat="false" ht="19.5" hidden="false" customHeight="true" outlineLevel="0" collapsed="false">
      <c r="B12" s="5" t="s">
        <v>319</v>
      </c>
      <c r="C12" s="5" t="s">
        <v>22</v>
      </c>
      <c r="D12" s="5" t="s">
        <v>23</v>
      </c>
      <c r="E12" s="5" t="s">
        <v>24</v>
      </c>
      <c r="F12" s="5" t="s">
        <v>320</v>
      </c>
    </row>
    <row r="13" customFormat="false" ht="29.25" hidden="false" customHeight="true" outlineLevel="0" collapsed="false">
      <c r="B13" s="7" t="s">
        <v>321</v>
      </c>
      <c r="C13" s="35" t="s">
        <v>148</v>
      </c>
      <c r="D13" s="35" t="s">
        <v>322</v>
      </c>
      <c r="E13" s="35" t="s">
        <v>323</v>
      </c>
      <c r="F13" s="11" t="s">
        <v>324</v>
      </c>
    </row>
    <row r="14" customFormat="false" ht="29.25" hidden="false" customHeight="true" outlineLevel="0" collapsed="false">
      <c r="B14" s="7" t="s">
        <v>325</v>
      </c>
      <c r="C14" s="35" t="s">
        <v>326</v>
      </c>
      <c r="D14" s="35" t="s">
        <v>327</v>
      </c>
      <c r="E14" s="35" t="s">
        <v>328</v>
      </c>
      <c r="F14" s="11" t="s">
        <v>329</v>
      </c>
    </row>
    <row r="15" customFormat="false" ht="29.25" hidden="false" customHeight="true" outlineLevel="0" collapsed="false">
      <c r="B15" s="7" t="s">
        <v>330</v>
      </c>
      <c r="C15" s="36" t="n">
        <v>2999</v>
      </c>
      <c r="D15" s="36" t="n">
        <v>7999</v>
      </c>
      <c r="E15" s="36" t="n">
        <v>19999</v>
      </c>
      <c r="F15" s="11" t="s">
        <v>331</v>
      </c>
    </row>
    <row r="16" customFormat="false" ht="15.75" hidden="false" customHeight="true" outlineLevel="0" collapsed="false">
      <c r="B16" s="7" t="s">
        <v>332</v>
      </c>
      <c r="C16" s="37" t="n">
        <f aca="false">ROUND(C15/$C$8,0)</f>
        <v>31</v>
      </c>
      <c r="D16" s="37" t="n">
        <f aca="false">ROUND(D15/$C$8,0)</f>
        <v>83</v>
      </c>
      <c r="E16" s="37" t="n">
        <f aca="false">ROUND(E15/$C$8,0)</f>
        <v>208</v>
      </c>
      <c r="F16" s="11" t="s">
        <v>333</v>
      </c>
    </row>
    <row r="17" customFormat="false" ht="29.25" hidden="false" customHeight="true" outlineLevel="0" collapsed="false">
      <c r="B17" s="7" t="s">
        <v>334</v>
      </c>
      <c r="C17" s="38" t="n">
        <f aca="false">ROUND(C15/(1-$C$7),0)</f>
        <v>3613</v>
      </c>
      <c r="D17" s="38" t="n">
        <f aca="false">ROUND(D15/(1-$C$7),0)</f>
        <v>9637</v>
      </c>
      <c r="E17" s="38" t="n">
        <f aca="false">ROUND(E15/(1-$C$7),0)</f>
        <v>24095</v>
      </c>
      <c r="F17" s="11" t="s">
        <v>335</v>
      </c>
    </row>
    <row r="18" customFormat="false" ht="15.75" hidden="false" customHeight="true" outlineLevel="0" collapsed="false">
      <c r="B18" s="7" t="s">
        <v>336</v>
      </c>
      <c r="C18" s="38" t="n">
        <f aca="false">C15*12</f>
        <v>35988</v>
      </c>
      <c r="D18" s="38" t="n">
        <f aca="false">D15*12</f>
        <v>95988</v>
      </c>
      <c r="E18" s="38" t="n">
        <f aca="false">E15*12</f>
        <v>239988</v>
      </c>
      <c r="F18" s="11" t="s">
        <v>337</v>
      </c>
    </row>
    <row r="19" customFormat="false" ht="15.75" hidden="false" customHeight="true" outlineLevel="0" collapsed="false">
      <c r="B19" s="7" t="s">
        <v>338</v>
      </c>
      <c r="C19" s="38" t="n">
        <f aca="false">C17*12</f>
        <v>43356</v>
      </c>
      <c r="D19" s="38" t="n">
        <f aca="false">D17*12</f>
        <v>115644</v>
      </c>
      <c r="E19" s="38" t="n">
        <f aca="false">E17*12</f>
        <v>289140</v>
      </c>
      <c r="F19" s="11" t="s">
        <v>337</v>
      </c>
    </row>
    <row r="20" customFormat="false" ht="29.25" hidden="false" customHeight="true" outlineLevel="0" collapsed="false">
      <c r="B20" s="7" t="s">
        <v>339</v>
      </c>
      <c r="C20" s="38" t="n">
        <f aca="false">C19-C18</f>
        <v>7368</v>
      </c>
      <c r="D20" s="38" t="n">
        <f aca="false">D19-D18</f>
        <v>19656</v>
      </c>
      <c r="E20" s="38" t="n">
        <f aca="false">E19-E18</f>
        <v>49152</v>
      </c>
      <c r="F20" s="11" t="s">
        <v>340</v>
      </c>
    </row>
    <row r="21" customFormat="false" ht="29.25" hidden="false" customHeight="true" outlineLevel="0" collapsed="false">
      <c r="B21" s="7" t="s">
        <v>341</v>
      </c>
      <c r="C21" s="31" t="n">
        <f aca="false">C20/C19</f>
        <v>0.169941876556878</v>
      </c>
      <c r="D21" s="31" t="n">
        <f aca="false">D20/D19</f>
        <v>0.169969907647608</v>
      </c>
      <c r="E21" s="31" t="n">
        <f aca="false">E20/E19</f>
        <v>0.169993774642042</v>
      </c>
      <c r="F21" s="11" t="s">
        <v>342</v>
      </c>
    </row>
    <row r="22" customFormat="false" ht="29.25" hidden="false" customHeight="true" outlineLevel="0" collapsed="false">
      <c r="B22" s="7" t="s">
        <v>343</v>
      </c>
      <c r="C22" s="35" t="s">
        <v>344</v>
      </c>
      <c r="D22" s="35" t="s">
        <v>344</v>
      </c>
      <c r="E22" s="35" t="s">
        <v>344</v>
      </c>
      <c r="F22" s="11" t="s">
        <v>345</v>
      </c>
    </row>
    <row r="23" customFormat="false" ht="29.25" hidden="false" customHeight="true" outlineLevel="0" collapsed="false">
      <c r="B23" s="7" t="s">
        <v>346</v>
      </c>
      <c r="C23" s="35" t="s">
        <v>347</v>
      </c>
      <c r="D23" s="35" t="s">
        <v>348</v>
      </c>
      <c r="E23" s="35" t="s">
        <v>349</v>
      </c>
      <c r="F23" s="11" t="s">
        <v>350</v>
      </c>
    </row>
    <row r="25" customFormat="false" ht="24" hidden="false" customHeight="true" outlineLevel="0" collapsed="false">
      <c r="B25" s="4" t="s">
        <v>351</v>
      </c>
      <c r="C25" s="4"/>
      <c r="D25" s="4"/>
      <c r="E25" s="4"/>
      <c r="F25" s="4"/>
    </row>
    <row r="26" customFormat="false" ht="19.5" hidden="false" customHeight="true" outlineLevel="0" collapsed="false">
      <c r="B26" s="5" t="s">
        <v>352</v>
      </c>
      <c r="C26" s="5" t="s">
        <v>22</v>
      </c>
      <c r="D26" s="5" t="s">
        <v>23</v>
      </c>
      <c r="E26" s="5" t="s">
        <v>24</v>
      </c>
      <c r="F26" s="5" t="s">
        <v>320</v>
      </c>
    </row>
    <row r="27" customFormat="false" ht="15.75" hidden="false" customHeight="true" outlineLevel="0" collapsed="false">
      <c r="B27" s="7" t="s">
        <v>353</v>
      </c>
      <c r="C27" s="35" t="s">
        <v>354</v>
      </c>
      <c r="D27" s="35" t="s">
        <v>354</v>
      </c>
      <c r="E27" s="35" t="s">
        <v>355</v>
      </c>
      <c r="F27" s="11" t="s">
        <v>356</v>
      </c>
    </row>
    <row r="28" customFormat="false" ht="15.75" hidden="false" customHeight="true" outlineLevel="0" collapsed="false">
      <c r="B28" s="7" t="s">
        <v>357</v>
      </c>
      <c r="C28" s="35" t="s">
        <v>358</v>
      </c>
      <c r="D28" s="35" t="s">
        <v>359</v>
      </c>
      <c r="E28" s="35" t="s">
        <v>355</v>
      </c>
      <c r="F28" s="11" t="s">
        <v>356</v>
      </c>
    </row>
    <row r="29" customFormat="false" ht="29.25" hidden="false" customHeight="true" outlineLevel="0" collapsed="false">
      <c r="B29" s="7" t="s">
        <v>360</v>
      </c>
      <c r="C29" s="35" t="s">
        <v>361</v>
      </c>
      <c r="D29" s="35" t="s">
        <v>362</v>
      </c>
      <c r="E29" s="35" t="s">
        <v>355</v>
      </c>
      <c r="F29" s="11" t="s">
        <v>363</v>
      </c>
    </row>
    <row r="30" customFormat="false" ht="15.75" hidden="false" customHeight="true" outlineLevel="0" collapsed="false">
      <c r="B30" s="7" t="s">
        <v>364</v>
      </c>
      <c r="C30" s="35" t="s">
        <v>202</v>
      </c>
      <c r="D30" s="35" t="s">
        <v>365</v>
      </c>
      <c r="E30" s="35" t="s">
        <v>365</v>
      </c>
      <c r="F30" s="11" t="s">
        <v>356</v>
      </c>
    </row>
    <row r="31" customFormat="false" ht="29.25" hidden="false" customHeight="true" outlineLevel="0" collapsed="false">
      <c r="B31" s="7" t="s">
        <v>366</v>
      </c>
      <c r="C31" s="35" t="s">
        <v>367</v>
      </c>
      <c r="D31" s="35" t="s">
        <v>368</v>
      </c>
      <c r="E31" s="35" t="s">
        <v>355</v>
      </c>
      <c r="F31" s="11" t="s">
        <v>369</v>
      </c>
    </row>
    <row r="32" customFormat="false" ht="42" hidden="false" customHeight="true" outlineLevel="0" collapsed="false">
      <c r="B32" s="7" t="s">
        <v>370</v>
      </c>
      <c r="C32" s="35" t="s">
        <v>202</v>
      </c>
      <c r="D32" s="35" t="s">
        <v>365</v>
      </c>
      <c r="E32" s="35" t="s">
        <v>365</v>
      </c>
      <c r="F32" s="11" t="s">
        <v>371</v>
      </c>
    </row>
    <row r="33" customFormat="false" ht="15.75" hidden="false" customHeight="true" outlineLevel="0" collapsed="false">
      <c r="B33" s="7" t="s">
        <v>372</v>
      </c>
      <c r="C33" s="35" t="s">
        <v>358</v>
      </c>
      <c r="D33" s="35" t="s">
        <v>64</v>
      </c>
      <c r="E33" s="35" t="s">
        <v>355</v>
      </c>
      <c r="F33" s="11" t="s">
        <v>356</v>
      </c>
    </row>
    <row r="34" customFormat="false" ht="15.75" hidden="false" customHeight="true" outlineLevel="0" collapsed="false">
      <c r="B34" s="7" t="s">
        <v>373</v>
      </c>
      <c r="C34" s="35" t="s">
        <v>374</v>
      </c>
      <c r="D34" s="35" t="s">
        <v>375</v>
      </c>
      <c r="E34" s="35" t="s">
        <v>376</v>
      </c>
      <c r="F34" s="11" t="s">
        <v>356</v>
      </c>
    </row>
    <row r="35" customFormat="false" ht="15.75" hidden="false" customHeight="true" outlineLevel="0" collapsed="false">
      <c r="B35" s="7" t="s">
        <v>377</v>
      </c>
      <c r="C35" s="35" t="s">
        <v>202</v>
      </c>
      <c r="D35" s="35" t="s">
        <v>365</v>
      </c>
      <c r="E35" s="35" t="s">
        <v>365</v>
      </c>
      <c r="F35" s="11" t="s">
        <v>356</v>
      </c>
    </row>
    <row r="36" customFormat="false" ht="29.25" hidden="false" customHeight="true" outlineLevel="0" collapsed="false">
      <c r="B36" s="7" t="s">
        <v>378</v>
      </c>
      <c r="C36" s="35" t="s">
        <v>202</v>
      </c>
      <c r="D36" s="35" t="s">
        <v>365</v>
      </c>
      <c r="E36" s="35" t="s">
        <v>365</v>
      </c>
      <c r="F36" s="11" t="s">
        <v>379</v>
      </c>
    </row>
    <row r="37" customFormat="false" ht="29.25" hidden="false" customHeight="true" outlineLevel="0" collapsed="false">
      <c r="B37" s="7" t="s">
        <v>380</v>
      </c>
      <c r="C37" s="35" t="s">
        <v>202</v>
      </c>
      <c r="D37" s="35" t="s">
        <v>202</v>
      </c>
      <c r="E37" s="35" t="s">
        <v>365</v>
      </c>
      <c r="F37" s="11" t="s">
        <v>379</v>
      </c>
    </row>
    <row r="38" customFormat="false" ht="15.75" hidden="false" customHeight="true" outlineLevel="0" collapsed="false">
      <c r="B38" s="7" t="s">
        <v>381</v>
      </c>
      <c r="C38" s="35" t="s">
        <v>202</v>
      </c>
      <c r="D38" s="35" t="s">
        <v>365</v>
      </c>
      <c r="E38" s="35" t="s">
        <v>365</v>
      </c>
      <c r="F38" s="11" t="s">
        <v>356</v>
      </c>
    </row>
    <row r="39" customFormat="false" ht="15.75" hidden="false" customHeight="true" outlineLevel="0" collapsed="false">
      <c r="B39" s="7" t="s">
        <v>382</v>
      </c>
      <c r="C39" s="35" t="s">
        <v>202</v>
      </c>
      <c r="D39" s="35" t="s">
        <v>365</v>
      </c>
      <c r="E39" s="35" t="s">
        <v>365</v>
      </c>
      <c r="F39" s="11" t="s">
        <v>356</v>
      </c>
    </row>
    <row r="40" customFormat="false" ht="15.75" hidden="false" customHeight="true" outlineLevel="0" collapsed="false">
      <c r="B40" s="7" t="s">
        <v>383</v>
      </c>
      <c r="C40" s="35" t="s">
        <v>202</v>
      </c>
      <c r="D40" s="35" t="s">
        <v>365</v>
      </c>
      <c r="E40" s="35" t="s">
        <v>365</v>
      </c>
      <c r="F40" s="11" t="s">
        <v>356</v>
      </c>
    </row>
    <row r="41" customFormat="false" ht="29.25" hidden="false" customHeight="true" outlineLevel="0" collapsed="false">
      <c r="B41" s="7" t="s">
        <v>384</v>
      </c>
      <c r="C41" s="35" t="s">
        <v>202</v>
      </c>
      <c r="D41" s="35" t="s">
        <v>202</v>
      </c>
      <c r="E41" s="35" t="s">
        <v>275</v>
      </c>
      <c r="F41" s="11" t="s">
        <v>385</v>
      </c>
    </row>
    <row r="42" customFormat="false" ht="15" hidden="false" customHeight="true" outlineLevel="0" collapsed="false">
      <c r="B42" s="7" t="s">
        <v>386</v>
      </c>
      <c r="C42" s="21" t="n">
        <f aca="false">C49</f>
        <v>100</v>
      </c>
      <c r="D42" s="21" t="n">
        <f aca="false">D49</f>
        <v>1000</v>
      </c>
      <c r="E42" s="21" t="n">
        <f aca="false">E49</f>
        <v>5000</v>
      </c>
      <c r="F42" s="11" t="s">
        <v>387</v>
      </c>
    </row>
    <row r="43" customFormat="false" ht="15" hidden="false" customHeight="true" outlineLevel="0" collapsed="false">
      <c r="B43" s="7" t="s">
        <v>388</v>
      </c>
      <c r="C43" s="21" t="n">
        <f aca="false">C48</f>
        <v>10</v>
      </c>
      <c r="D43" s="21" t="n">
        <f aca="false">D48</f>
        <v>50</v>
      </c>
      <c r="E43" s="21" t="n">
        <f aca="false">E48</f>
        <v>150</v>
      </c>
      <c r="F43" s="11" t="s">
        <v>389</v>
      </c>
    </row>
    <row r="44" customFormat="false" ht="18" hidden="false" customHeight="true" outlineLevel="0" collapsed="false">
      <c r="B44" s="3" t="s">
        <v>390</v>
      </c>
      <c r="C44" s="3"/>
      <c r="D44" s="3"/>
      <c r="E44" s="3"/>
      <c r="F44" s="3"/>
    </row>
    <row r="46" customFormat="false" ht="24" hidden="false" customHeight="true" outlineLevel="0" collapsed="false">
      <c r="B46" s="4" t="s">
        <v>391</v>
      </c>
      <c r="C46" s="4"/>
      <c r="D46" s="4"/>
      <c r="E46" s="4"/>
      <c r="F46" s="4"/>
    </row>
    <row r="47" customFormat="false" ht="19.5" hidden="false" customHeight="true" outlineLevel="0" collapsed="false">
      <c r="B47" s="5" t="s">
        <v>319</v>
      </c>
      <c r="C47" s="5" t="s">
        <v>22</v>
      </c>
      <c r="D47" s="5" t="s">
        <v>23</v>
      </c>
      <c r="E47" s="5" t="s">
        <v>24</v>
      </c>
      <c r="F47" s="5" t="s">
        <v>320</v>
      </c>
    </row>
    <row r="48" customFormat="false" ht="15.75" hidden="false" customHeight="true" outlineLevel="0" collapsed="false">
      <c r="B48" s="7" t="s">
        <v>392</v>
      </c>
      <c r="C48" s="18" t="n">
        <v>10</v>
      </c>
      <c r="D48" s="18" t="n">
        <v>50</v>
      </c>
      <c r="E48" s="18" t="n">
        <v>150</v>
      </c>
      <c r="F48" s="11" t="s">
        <v>393</v>
      </c>
    </row>
    <row r="49" customFormat="false" ht="15.75" hidden="false" customHeight="true" outlineLevel="0" collapsed="false">
      <c r="B49" s="7" t="s">
        <v>394</v>
      </c>
      <c r="C49" s="18" t="n">
        <v>100</v>
      </c>
      <c r="D49" s="18" t="n">
        <v>1000</v>
      </c>
      <c r="E49" s="18" t="n">
        <v>5000</v>
      </c>
      <c r="F49" s="11" t="s">
        <v>395</v>
      </c>
    </row>
    <row r="50" customFormat="false" ht="29.25" hidden="false" customHeight="true" outlineLevel="0" collapsed="false">
      <c r="B50" s="7" t="s">
        <v>396</v>
      </c>
      <c r="C50" s="36" t="n">
        <v>3</v>
      </c>
      <c r="D50" s="36" t="n">
        <v>180</v>
      </c>
      <c r="E50" s="36" t="n">
        <v>650</v>
      </c>
      <c r="F50" s="11" t="s">
        <v>397</v>
      </c>
    </row>
    <row r="51" customFormat="false" ht="42" hidden="false" customHeight="true" outlineLevel="0" collapsed="false">
      <c r="B51" s="7" t="s">
        <v>398</v>
      </c>
      <c r="C51" s="39" t="n">
        <v>34</v>
      </c>
      <c r="F51" s="11" t="s">
        <v>399</v>
      </c>
    </row>
    <row r="52" customFormat="false" ht="29.25" hidden="false" customHeight="true" outlineLevel="0" collapsed="false">
      <c r="B52" s="7" t="s">
        <v>400</v>
      </c>
      <c r="C52" s="40" t="n">
        <v>0.9</v>
      </c>
      <c r="F52" s="11" t="s">
        <v>401</v>
      </c>
    </row>
    <row r="53" customFormat="false" ht="15.75" hidden="false" customHeight="true" outlineLevel="0" collapsed="false">
      <c r="B53" s="7" t="s">
        <v>402</v>
      </c>
      <c r="C53" s="38" t="n">
        <f aca="false">C48*$C$51</f>
        <v>340</v>
      </c>
      <c r="D53" s="38" t="n">
        <f aca="false">D48*$C$51</f>
        <v>1700</v>
      </c>
      <c r="E53" s="38" t="n">
        <f aca="false">E48*$C$51</f>
        <v>5100</v>
      </c>
      <c r="F53" s="11" t="s">
        <v>403</v>
      </c>
    </row>
    <row r="54" customFormat="false" ht="15.75" hidden="false" customHeight="true" outlineLevel="0" collapsed="false">
      <c r="B54" s="7" t="s">
        <v>404</v>
      </c>
      <c r="C54" s="38" t="n">
        <f aca="false">C49*$C$52</f>
        <v>90</v>
      </c>
      <c r="D54" s="38" t="n">
        <f aca="false">D49*$C$52</f>
        <v>900</v>
      </c>
      <c r="E54" s="38" t="n">
        <f aca="false">E49*$C$52</f>
        <v>4500</v>
      </c>
      <c r="F54" s="11" t="s">
        <v>405</v>
      </c>
    </row>
    <row r="55" customFormat="false" ht="29.25" hidden="false" customHeight="true" outlineLevel="0" collapsed="false">
      <c r="B55" s="7" t="s">
        <v>406</v>
      </c>
      <c r="C55" s="38" t="n">
        <f aca="false">C53+C54+C50</f>
        <v>433</v>
      </c>
      <c r="D55" s="38" t="n">
        <f aca="false">D53+D54+D50</f>
        <v>2780</v>
      </c>
      <c r="E55" s="38" t="n">
        <f aca="false">E53+E54+E50</f>
        <v>10250</v>
      </c>
      <c r="F55" s="11" t="s">
        <v>407</v>
      </c>
    </row>
    <row r="56" customFormat="false" ht="15.75" hidden="false" customHeight="true" outlineLevel="0" collapsed="false">
      <c r="B56" s="7" t="s">
        <v>408</v>
      </c>
      <c r="C56" s="38" t="n">
        <f aca="false">C15-C55</f>
        <v>2566</v>
      </c>
      <c r="D56" s="38" t="n">
        <f aca="false">D15-D55</f>
        <v>5219</v>
      </c>
      <c r="E56" s="38" t="n">
        <f aca="false">E15-E55</f>
        <v>9749</v>
      </c>
      <c r="F56" s="11" t="s">
        <v>409</v>
      </c>
    </row>
    <row r="57" customFormat="false" ht="15.75" hidden="false" customHeight="true" outlineLevel="0" collapsed="false">
      <c r="B57" s="7" t="s">
        <v>410</v>
      </c>
      <c r="C57" s="31" t="n">
        <f aca="false">C56/C15</f>
        <v>0.855618539513171</v>
      </c>
      <c r="D57" s="31" t="n">
        <f aca="false">D56/D15</f>
        <v>0.652456557069634</v>
      </c>
      <c r="E57" s="31" t="n">
        <f aca="false">E56/E15</f>
        <v>0.487474373718686</v>
      </c>
      <c r="F57" s="11" t="s">
        <v>411</v>
      </c>
    </row>
    <row r="58" customFormat="false" ht="24" hidden="false" customHeight="true" outlineLevel="0" collapsed="false">
      <c r="B58" s="41" t="s">
        <v>412</v>
      </c>
      <c r="C58" s="41"/>
      <c r="D58" s="41"/>
      <c r="E58" s="41"/>
      <c r="F58" s="41"/>
    </row>
    <row r="59" customFormat="false" ht="29.25" hidden="false" customHeight="true" outlineLevel="0" collapsed="false">
      <c r="B59" s="7" t="s">
        <v>413</v>
      </c>
      <c r="C59" s="42" t="n">
        <v>89</v>
      </c>
      <c r="F59" s="11" t="s">
        <v>414</v>
      </c>
    </row>
    <row r="60" customFormat="false" ht="15" hidden="false" customHeight="true" outlineLevel="0" collapsed="false">
      <c r="B60" s="7" t="s">
        <v>415</v>
      </c>
      <c r="C60" s="18" t="n">
        <v>225</v>
      </c>
      <c r="F60" s="11" t="s">
        <v>416</v>
      </c>
    </row>
    <row r="61" customFormat="false" ht="15" hidden="false" customHeight="true" outlineLevel="0" collapsed="false">
      <c r="B61" s="7" t="s">
        <v>417</v>
      </c>
      <c r="C61" s="43" t="n">
        <f aca="false">$C$59/$C$60*$C$8</f>
        <v>38.0010222222222</v>
      </c>
      <c r="F61" s="11" t="s">
        <v>418</v>
      </c>
    </row>
    <row r="62" customFormat="false" ht="15.75" hidden="false" customHeight="true" outlineLevel="0" collapsed="false">
      <c r="B62" s="7" t="s">
        <v>419</v>
      </c>
      <c r="C62" s="38" t="n">
        <f aca="false">C48*$C$61+C54+C50</f>
        <v>473.010222222222</v>
      </c>
      <c r="D62" s="38" t="n">
        <f aca="false">D48*$C$61+D54+D50</f>
        <v>2980.05111111111</v>
      </c>
      <c r="E62" s="38" t="n">
        <f aca="false">E48*$C$61+E54+E50</f>
        <v>10850.1533333333</v>
      </c>
      <c r="F62" s="11" t="s">
        <v>420</v>
      </c>
    </row>
    <row r="63" customFormat="false" ht="15.75" hidden="false" customHeight="true" outlineLevel="0" collapsed="false">
      <c r="B63" s="7" t="s">
        <v>421</v>
      </c>
      <c r="C63" s="31" t="n">
        <f aca="false">(C15-C62)/C15</f>
        <v>0.842277351709829</v>
      </c>
      <c r="D63" s="31" t="n">
        <f aca="false">(D15-D62)/D15</f>
        <v>0.62744704199136</v>
      </c>
      <c r="E63" s="31" t="n">
        <f aca="false">(E15-E62)/E15</f>
        <v>0.457465206593663</v>
      </c>
      <c r="F63" s="11" t="s">
        <v>422</v>
      </c>
    </row>
    <row r="64" customFormat="false" ht="23.25" hidden="false" customHeight="true" outlineLevel="0" collapsed="false">
      <c r="B64" s="7" t="s">
        <v>423</v>
      </c>
      <c r="C64" s="44" t="n">
        <v>6</v>
      </c>
      <c r="F64" s="11" t="s">
        <v>424</v>
      </c>
    </row>
    <row r="65" customFormat="false" ht="29.25" hidden="false" customHeight="true" outlineLevel="0" collapsed="false">
      <c r="B65" s="7" t="s">
        <v>425</v>
      </c>
      <c r="C65" s="38" t="n">
        <f aca="false">C62</f>
        <v>473.010222222222</v>
      </c>
      <c r="D65" s="38" t="n">
        <f aca="false">D48*$C$61+D54*$C$64+D50</f>
        <v>7480.05111111111</v>
      </c>
      <c r="E65" s="38" t="n">
        <f aca="false">E48*$C$61+E54*$C$64+E50</f>
        <v>33350.1533333333</v>
      </c>
      <c r="F65" s="11" t="s">
        <v>426</v>
      </c>
    </row>
    <row r="66" customFormat="false" ht="29.25" hidden="false" customHeight="true" outlineLevel="0" collapsed="false">
      <c r="B66" s="7" t="s">
        <v>39</v>
      </c>
      <c r="C66" s="31" t="n">
        <f aca="false">(C15-C65)/C15</f>
        <v>0.842277351709829</v>
      </c>
      <c r="D66" s="31" t="n">
        <f aca="false">(D15-D65)/D15</f>
        <v>0.0648767207011988</v>
      </c>
      <c r="E66" s="31" t="n">
        <f aca="false">(E15-E65)/E15</f>
        <v>-0.667591046218978</v>
      </c>
      <c r="F66" s="11" t="s">
        <v>427</v>
      </c>
    </row>
    <row r="68" customFormat="false" ht="24" hidden="false" customHeight="true" outlineLevel="0" collapsed="false">
      <c r="B68" s="4" t="s">
        <v>428</v>
      </c>
      <c r="C68" s="4"/>
      <c r="D68" s="4"/>
      <c r="E68" s="4"/>
      <c r="F68" s="4"/>
    </row>
    <row r="69" customFormat="false" ht="19.5" hidden="false" customHeight="true" outlineLevel="0" collapsed="false">
      <c r="B69" s="5" t="s">
        <v>319</v>
      </c>
      <c r="C69" s="5" t="s">
        <v>22</v>
      </c>
      <c r="D69" s="5" t="s">
        <v>23</v>
      </c>
      <c r="E69" s="5" t="s">
        <v>24</v>
      </c>
      <c r="F69" s="5" t="s">
        <v>320</v>
      </c>
    </row>
    <row r="70" customFormat="false" ht="15.75" hidden="false" customHeight="true" outlineLevel="0" collapsed="false">
      <c r="B70" s="7" t="s">
        <v>429</v>
      </c>
      <c r="C70" s="38" t="n">
        <f aca="false">C15</f>
        <v>2999</v>
      </c>
      <c r="D70" s="38" t="n">
        <f aca="false">D15</f>
        <v>7999</v>
      </c>
      <c r="E70" s="38" t="n">
        <f aca="false">E15</f>
        <v>19999</v>
      </c>
      <c r="F70" s="11" t="s">
        <v>430</v>
      </c>
    </row>
    <row r="71" customFormat="false" ht="15.75" hidden="false" customHeight="true" outlineLevel="0" collapsed="false">
      <c r="B71" s="7" t="s">
        <v>431</v>
      </c>
      <c r="C71" s="36" t="n">
        <v>4000</v>
      </c>
      <c r="D71" s="36" t="n">
        <v>12000</v>
      </c>
      <c r="E71" s="36" t="n">
        <v>29000</v>
      </c>
      <c r="F71" s="11" t="s">
        <v>432</v>
      </c>
    </row>
    <row r="72" customFormat="false" ht="15.75" hidden="false" customHeight="true" outlineLevel="0" collapsed="false">
      <c r="B72" s="7" t="s">
        <v>433</v>
      </c>
      <c r="C72" s="36" t="n">
        <v>5000</v>
      </c>
      <c r="D72" s="36" t="n">
        <v>15000</v>
      </c>
      <c r="E72" s="36" t="n">
        <v>39000</v>
      </c>
      <c r="F72" s="11" t="s">
        <v>432</v>
      </c>
    </row>
    <row r="73" customFormat="false" ht="15.75" hidden="false" customHeight="true" outlineLevel="0" collapsed="false">
      <c r="B73" s="7" t="s">
        <v>434</v>
      </c>
      <c r="C73" s="31" t="n">
        <f aca="false">C71/C70-1</f>
        <v>0.333777925975325</v>
      </c>
      <c r="D73" s="31" t="n">
        <f aca="false">D71/D70-1</f>
        <v>0.50018752344043</v>
      </c>
      <c r="E73" s="31" t="n">
        <f aca="false">E71/E70-1</f>
        <v>0.450072503625181</v>
      </c>
      <c r="F73" s="11" t="s">
        <v>435</v>
      </c>
    </row>
    <row r="74" customFormat="false" ht="15.75" hidden="false" customHeight="true" outlineLevel="0" collapsed="false">
      <c r="B74" s="7" t="s">
        <v>436</v>
      </c>
      <c r="C74" s="31" t="n">
        <f aca="false">C72/C70-1</f>
        <v>0.667222407469156</v>
      </c>
      <c r="D74" s="31" t="n">
        <f aca="false">D72/D70-1</f>
        <v>0.875234404300538</v>
      </c>
      <c r="E74" s="31" t="n">
        <f aca="false">E72/E70-1</f>
        <v>0.950097504875244</v>
      </c>
      <c r="F74" s="11" t="s">
        <v>435</v>
      </c>
    </row>
    <row r="75" customFormat="false" ht="42" hidden="false" customHeight="true" outlineLevel="0" collapsed="false">
      <c r="B75" s="7" t="s">
        <v>437</v>
      </c>
      <c r="C75" s="35" t="s">
        <v>438</v>
      </c>
      <c r="D75" s="35" t="s">
        <v>439</v>
      </c>
      <c r="E75" s="35" t="s">
        <v>440</v>
      </c>
      <c r="F75" s="11" t="s">
        <v>441</v>
      </c>
    </row>
    <row r="76" customFormat="false" ht="29.25" hidden="false" customHeight="true" outlineLevel="0" collapsed="false">
      <c r="B76" s="7" t="s">
        <v>442</v>
      </c>
      <c r="C76" s="45" t="s">
        <v>443</v>
      </c>
      <c r="D76" s="45"/>
      <c r="E76" s="45"/>
      <c r="F76" s="11" t="s">
        <v>444</v>
      </c>
    </row>
    <row r="78" customFormat="false" ht="24" hidden="false" customHeight="true" outlineLevel="0" collapsed="false">
      <c r="B78" s="4" t="s">
        <v>445</v>
      </c>
      <c r="C78" s="4"/>
      <c r="D78" s="4"/>
      <c r="E78" s="4"/>
      <c r="F78" s="4"/>
    </row>
    <row r="79" customFormat="false" ht="19.5" hidden="false" customHeight="true" outlineLevel="0" collapsed="false">
      <c r="B79" s="5" t="s">
        <v>3</v>
      </c>
      <c r="C79" s="19" t="s">
        <v>110</v>
      </c>
      <c r="D79" s="19"/>
      <c r="E79" s="19"/>
      <c r="F79" s="5" t="s">
        <v>446</v>
      </c>
    </row>
    <row r="80" customFormat="false" ht="15.75" hidden="false" customHeight="true" outlineLevel="0" collapsed="false">
      <c r="B80" s="7" t="s">
        <v>447</v>
      </c>
      <c r="C80" s="46" t="s">
        <v>71</v>
      </c>
      <c r="D80" s="46"/>
      <c r="E80" s="46"/>
      <c r="F80" s="11" t="s">
        <v>448</v>
      </c>
    </row>
    <row r="81" customFormat="false" ht="29.25" hidden="false" customHeight="true" outlineLevel="0" collapsed="false">
      <c r="B81" s="7" t="s">
        <v>449</v>
      </c>
      <c r="C81" s="20" t="s">
        <v>73</v>
      </c>
      <c r="D81" s="20"/>
      <c r="E81" s="20"/>
      <c r="F81" s="24" t="str">
        <f aca="false">"2-year prepay: a further "&amp;TEXT('Planning Inputs'!$D$70,"0%")&amp;" off the annual price. No nonprofit or launch discount (every customer is an impact org; the base price already targets them)."</f>
        <v>2-year prepay: a further 5% off the annual price. No nonprofit or launch discount (every customer is an impact org; the base price already targets them).</v>
      </c>
    </row>
    <row r="82" customFormat="false" ht="29.25" hidden="false" customHeight="true" outlineLevel="0" collapsed="false">
      <c r="B82" s="7" t="s">
        <v>450</v>
      </c>
      <c r="C82" s="20" t="s">
        <v>73</v>
      </c>
      <c r="D82" s="20"/>
      <c r="E82" s="20"/>
      <c r="F82" s="24" t="str">
        <f aca="false">"Extra AI analysis ₹"&amp;'Planning Inputs'!$D$67&amp;" each; extra Cloudinary credit ₹"&amp;'Planning Inputs'!$D$68&amp;" each; extra seat ₹"&amp;'Planning Inputs'!$D$69&amp;" / month (Starter, Pro). Priced at "&amp;'Planning Inputs'!$D$66&amp;"× unit cost."</f>
        <v>Extra AI analysis ₹3 each; extra Cloudinary credit ₹114 each; extra seat ₹500 / month (Starter, Pro). Priced at 3× unit cost.</v>
      </c>
    </row>
    <row r="83" customFormat="false" ht="15.75" hidden="false" customHeight="true" outlineLevel="0" collapsed="false">
      <c r="B83" s="7" t="s">
        <v>451</v>
      </c>
      <c r="C83" s="20" t="s">
        <v>73</v>
      </c>
      <c r="D83" s="20"/>
      <c r="E83" s="20"/>
      <c r="F83" s="24" t="s">
        <v>452</v>
      </c>
    </row>
    <row r="84" customFormat="false" ht="15.75" hidden="false" customHeight="true" outlineLevel="0" collapsed="false">
      <c r="B84" s="7" t="s">
        <v>453</v>
      </c>
      <c r="C84" s="20" t="s">
        <v>73</v>
      </c>
      <c r="D84" s="20"/>
      <c r="E84" s="20"/>
      <c r="F84" s="24" t="str">
        <f aca="false">"14-day opt-in trial with Pro features, capped at "&amp;'Planning Inputs'!$D$28&amp;" analyses and "&amp;'Planning Inputs'!$D$29&amp;" credits: ₹"&amp;TEXT('Planning Inputs'!$D$30,"#,##0")&amp;" per trial org, ₹"&amp;TEXT('Planning Inputs'!$D$30/'Planning Inputs'!$D$23,"#,##0")&amp;" of trial cost per paying org."</f>
        <v>14-day opt-in trial with Pro features, capped at 25 analyses and 2 credits: ₹99 per trial org, ₹980 of trial cost per paying org.</v>
      </c>
    </row>
    <row r="85" customFormat="false" ht="42" hidden="false" customHeight="true" outlineLevel="0" collapsed="false">
      <c r="B85" s="7" t="s">
        <v>454</v>
      </c>
      <c r="C85" s="46" t="s">
        <v>71</v>
      </c>
      <c r="D85" s="46"/>
      <c r="E85" s="46"/>
      <c r="F85" s="11" t="s">
        <v>455</v>
      </c>
    </row>
    <row r="86" customFormat="false" ht="29.25" hidden="false" customHeight="true" outlineLevel="0" collapsed="false">
      <c r="B86" s="7" t="s">
        <v>456</v>
      </c>
      <c r="C86" s="46" t="s">
        <v>71</v>
      </c>
      <c r="D86" s="46"/>
      <c r="E86" s="46"/>
      <c r="F86" s="11" t="s">
        <v>457</v>
      </c>
    </row>
    <row r="87" customFormat="false" ht="29.25" hidden="false" customHeight="true" outlineLevel="0" collapsed="false">
      <c r="B87" s="7" t="s">
        <v>458</v>
      </c>
      <c r="C87" s="46" t="s">
        <v>71</v>
      </c>
      <c r="D87" s="46"/>
      <c r="E87" s="46"/>
      <c r="F87" s="11" t="s">
        <v>459</v>
      </c>
    </row>
    <row r="88" customFormat="false" ht="29.25" hidden="false" customHeight="true" outlineLevel="0" collapsed="false">
      <c r="B88" s="7" t="s">
        <v>460</v>
      </c>
      <c r="C88" s="46" t="s">
        <v>74</v>
      </c>
      <c r="D88" s="46"/>
      <c r="E88" s="46"/>
      <c r="F88" s="11" t="s">
        <v>461</v>
      </c>
    </row>
    <row r="89" customFormat="false" ht="15.75" hidden="false" customHeight="true" outlineLevel="0" collapsed="false">
      <c r="B89" s="7" t="s">
        <v>462</v>
      </c>
      <c r="C89" s="20" t="s">
        <v>73</v>
      </c>
      <c r="D89" s="20"/>
      <c r="E89" s="20"/>
      <c r="F89" s="24" t="s">
        <v>463</v>
      </c>
    </row>
  </sheetData>
  <mergeCells count="25">
    <mergeCell ref="B3:F3"/>
    <mergeCell ref="B5:F5"/>
    <mergeCell ref="C6:E6"/>
    <mergeCell ref="C7:E7"/>
    <mergeCell ref="C8:E8"/>
    <mergeCell ref="C9:E9"/>
    <mergeCell ref="B11:F11"/>
    <mergeCell ref="B25:F25"/>
    <mergeCell ref="B44:F44"/>
    <mergeCell ref="B46:F46"/>
    <mergeCell ref="B58:F58"/>
    <mergeCell ref="B68:F68"/>
    <mergeCell ref="C76:E76"/>
    <mergeCell ref="B78:F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</mergeCells>
  <conditionalFormatting sqref="C57:E57">
    <cfRule type="cellIs" priority="2" operator="lessThan" aboveAverage="0" equalAverage="0" bottom="0" percent="0" rank="0" text="" dxfId="0">
      <formula>0</formula>
    </cfRule>
  </conditionalFormatting>
  <conditionalFormatting sqref="C63:E63">
    <cfRule type="cellIs" priority="3" operator="lessThan" aboveAverage="0" equalAverage="0" bottom="0" percent="0" rank="0" text="" dxfId="0">
      <formula>0</formula>
    </cfRule>
  </conditionalFormatting>
  <conditionalFormatting sqref="C66:E66">
    <cfRule type="cellIs" priority="4" operator="lessThan" aboveAverage="0" equalAverage="0" bottom="0" percent="0" rank="0" text="" dxfId="0">
      <formula>0</formula>
    </cfRule>
  </conditionalFormatting>
  <conditionalFormatting sqref="C80:C89">
    <cfRule type="cellIs" priority="5" operator="equal" aboveAverage="0" equalAverage="0" bottom="0" percent="0" rank="0" text="" dxfId="1">
      <formula>"Documented"</formula>
    </cfRule>
    <cfRule type="cellIs" priority="6" operator="equal" aboveAverage="0" equalAverage="0" bottom="0" percent="0" rank="0" text="" dxfId="2">
      <formula>"Calculated"</formula>
    </cfRule>
    <cfRule type="cellIs" priority="7" operator="equal" aboveAverage="0" equalAverage="0" bottom="0" percent="0" rank="0" text="" dxfId="3">
      <formula>"Assumption"</formula>
    </cfRule>
    <cfRule type="cellIs" priority="8" operator="equal" aboveAverage="0" equalAverage="0" bottom="0" percent="0" rank="0" text="" dxfId="4">
      <formula>"Hypothesis"</formula>
    </cfRule>
    <cfRule type="cellIs" priority="9" operator="equal" aboveAverage="0" equalAverage="0" bottom="0" percent="0" rank="0" text="" dxfId="5">
      <formula>"TBD"</formula>
    </cfRule>
    <cfRule type="cellIs" priority="10" operator="equal" aboveAverage="0" equalAverage="0" bottom="0" percent="0" rank="0" text="" dxfId="6">
      <formula>"Contradicted"</formula>
    </cfRule>
  </conditionalFormatting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2:O1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15" min="4" style="1" width="12"/>
    <col collapsed="false" customWidth="true" hidden="false" outlineLevel="0" max="16" min="16" style="1" width="3"/>
  </cols>
  <sheetData>
    <row r="2" customFormat="false" ht="27.75" hidden="false" customHeight="true" outlineLevel="0" collapsed="false">
      <c r="B2" s="2" t="s">
        <v>464</v>
      </c>
    </row>
    <row r="3" customFormat="false" ht="42" hidden="false" customHeight="true" outlineLevel="0" collapsed="false">
      <c r="B3" s="3" t="s">
        <v>465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customFormat="false" ht="24" hidden="false" customHeight="true" outlineLevel="0" collapsed="false">
      <c r="B5" s="4" t="s">
        <v>466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9.5" hidden="false" customHeight="true" outlineLevel="0" collapsed="false">
      <c r="B6" s="5" t="s">
        <v>467</v>
      </c>
      <c r="C6" s="5" t="s">
        <v>22</v>
      </c>
      <c r="D6" s="5" t="s">
        <v>23</v>
      </c>
      <c r="E6" s="5" t="s">
        <v>24</v>
      </c>
    </row>
    <row r="7" customFormat="false" ht="15" hidden="false" customHeight="true" outlineLevel="0" collapsed="false">
      <c r="B7" s="7" t="s">
        <v>468</v>
      </c>
      <c r="C7" s="10" t="n">
        <f aca="false">Pricing!C15</f>
        <v>2999</v>
      </c>
      <c r="D7" s="10" t="n">
        <f aca="false">Pricing!D15</f>
        <v>7999</v>
      </c>
      <c r="E7" s="10" t="n">
        <f aca="false">Pricing!E15</f>
        <v>19999</v>
      </c>
    </row>
    <row r="8" customFormat="false" ht="15" hidden="false" customHeight="true" outlineLevel="0" collapsed="false">
      <c r="B8" s="7" t="s">
        <v>469</v>
      </c>
      <c r="C8" s="38" t="n">
        <f aca="false">C7*12</f>
        <v>35988</v>
      </c>
      <c r="D8" s="38" t="n">
        <f aca="false">D7*12</f>
        <v>95988</v>
      </c>
      <c r="E8" s="38" t="n">
        <f aca="false">E7*12</f>
        <v>239988</v>
      </c>
    </row>
    <row r="9" customFormat="false" ht="15" hidden="false" customHeight="true" outlineLevel="0" collapsed="false">
      <c r="B9" s="7" t="s">
        <v>470</v>
      </c>
      <c r="C9" s="10" t="n">
        <f aca="false">Pricing!C55</f>
        <v>433</v>
      </c>
      <c r="D9" s="10" t="n">
        <f aca="false">Pricing!D55</f>
        <v>2780</v>
      </c>
      <c r="E9" s="10" t="n">
        <f aca="false">Pricing!E55</f>
        <v>10250</v>
      </c>
    </row>
    <row r="10" customFormat="false" ht="15" hidden="false" customHeight="true" outlineLevel="0" collapsed="false">
      <c r="B10" s="7" t="s">
        <v>471</v>
      </c>
      <c r="C10" s="38" t="n">
        <f aca="false">C7-C9</f>
        <v>2566</v>
      </c>
      <c r="D10" s="38" t="n">
        <f aca="false">D7-D9</f>
        <v>5219</v>
      </c>
      <c r="E10" s="38" t="n">
        <f aca="false">E7-E9</f>
        <v>9749</v>
      </c>
    </row>
    <row r="11" customFormat="false" ht="15" hidden="false" customHeight="true" outlineLevel="0" collapsed="false">
      <c r="B11" s="7" t="s">
        <v>472</v>
      </c>
      <c r="C11" s="31" t="n">
        <f aca="false">C10/C7</f>
        <v>0.855618539513171</v>
      </c>
      <c r="D11" s="31" t="n">
        <f aca="false">D10/D7</f>
        <v>0.652456557069634</v>
      </c>
      <c r="E11" s="31" t="n">
        <f aca="false">E10/E7</f>
        <v>0.487474373718686</v>
      </c>
    </row>
    <row r="12" customFormat="false" ht="15" hidden="false" customHeight="true" outlineLevel="0" collapsed="false">
      <c r="B12" s="7" t="s">
        <v>473</v>
      </c>
      <c r="C12" s="10" t="n">
        <f aca="false">Pricing!C17</f>
        <v>3613</v>
      </c>
      <c r="D12" s="10" t="n">
        <f aca="false">Pricing!D17</f>
        <v>9637</v>
      </c>
      <c r="E12" s="10" t="n">
        <f aca="false">Pricing!E17</f>
        <v>24095</v>
      </c>
    </row>
    <row r="13" customFormat="false" ht="15" hidden="false" customHeight="true" outlineLevel="0" collapsed="false">
      <c r="B13" s="7" t="s">
        <v>474</v>
      </c>
      <c r="C13" s="12" t="n">
        <f aca="false">Pricing!C16</f>
        <v>31</v>
      </c>
      <c r="D13" s="12" t="n">
        <f aca="false">Pricing!D16</f>
        <v>83</v>
      </c>
      <c r="E13" s="12" t="n">
        <f aca="false">Pricing!E16</f>
        <v>208</v>
      </c>
    </row>
    <row r="14" customFormat="false" ht="30" hidden="false" customHeight="true" outlineLevel="0" collapsed="false">
      <c r="B14" s="3" t="s">
        <v>475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6" customFormat="false" ht="24" hidden="false" customHeight="true" outlineLevel="0" collapsed="false">
      <c r="B16" s="4" t="s">
        <v>476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customFormat="false" ht="15" hidden="false" customHeight="true" outlineLevel="0" collapsed="false">
      <c r="B17" s="7" t="s">
        <v>477</v>
      </c>
      <c r="C17" s="18" t="n">
        <v>1</v>
      </c>
      <c r="D17" s="18" t="n">
        <v>10</v>
      </c>
      <c r="E17" s="18" t="n">
        <v>50</v>
      </c>
      <c r="F17" s="3" t="s">
        <v>478</v>
      </c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9.5" hidden="false" customHeight="true" outlineLevel="0" collapsed="false">
      <c r="B18" s="5" t="s">
        <v>479</v>
      </c>
      <c r="C18" s="5" t="s">
        <v>480</v>
      </c>
      <c r="D18" s="5" t="s">
        <v>481</v>
      </c>
      <c r="E18" s="5" t="s">
        <v>482</v>
      </c>
    </row>
    <row r="19" customFormat="false" ht="15" hidden="false" customHeight="true" outlineLevel="0" collapsed="false">
      <c r="B19" s="7" t="s">
        <v>22</v>
      </c>
      <c r="C19" s="38" t="n">
        <f aca="false">C$17*INDEX($C$7:$E$7,1)</f>
        <v>2999</v>
      </c>
      <c r="D19" s="38" t="n">
        <f aca="false">D$17*INDEX($C$7:$E$7,1)</f>
        <v>29990</v>
      </c>
      <c r="E19" s="38" t="n">
        <f aca="false">E$17*INDEX($C$7:$E$7,1)</f>
        <v>149950</v>
      </c>
    </row>
    <row r="20" customFormat="false" ht="15" hidden="false" customHeight="true" outlineLevel="0" collapsed="false">
      <c r="B20" s="7" t="s">
        <v>23</v>
      </c>
      <c r="C20" s="38" t="n">
        <f aca="false">C$17*INDEX($C$7:$E$7,2)</f>
        <v>7999</v>
      </c>
      <c r="D20" s="38" t="n">
        <f aca="false">D$17*INDEX($C$7:$E$7,2)</f>
        <v>79990</v>
      </c>
      <c r="E20" s="38" t="n">
        <f aca="false">E$17*INDEX($C$7:$E$7,2)</f>
        <v>399950</v>
      </c>
    </row>
    <row r="21" customFormat="false" ht="15" hidden="false" customHeight="true" outlineLevel="0" collapsed="false">
      <c r="B21" s="7" t="s">
        <v>24</v>
      </c>
      <c r="C21" s="38" t="n">
        <f aca="false">C$17*INDEX($C$7:$E$7,3)</f>
        <v>19999</v>
      </c>
      <c r="D21" s="38" t="n">
        <f aca="false">D$17*INDEX($C$7:$E$7,3)</f>
        <v>199990</v>
      </c>
      <c r="E21" s="38" t="n">
        <f aca="false">E$17*INDEX($C$7:$E$7,3)</f>
        <v>999950</v>
      </c>
    </row>
    <row r="22" customFormat="false" ht="19.5" hidden="false" customHeight="true" outlineLevel="0" collapsed="false">
      <c r="B22" s="5" t="s">
        <v>483</v>
      </c>
      <c r="C22" s="5" t="s">
        <v>480</v>
      </c>
      <c r="D22" s="5" t="s">
        <v>481</v>
      </c>
      <c r="E22" s="5" t="s">
        <v>482</v>
      </c>
    </row>
    <row r="23" customFormat="false" ht="15" hidden="false" customHeight="true" outlineLevel="0" collapsed="false">
      <c r="B23" s="7" t="s">
        <v>22</v>
      </c>
      <c r="C23" s="38" t="n">
        <f aca="false">C$17*INDEX($C$8:$E$8,1)</f>
        <v>35988</v>
      </c>
      <c r="D23" s="38" t="n">
        <f aca="false">D$17*INDEX($C$8:$E$8,1)</f>
        <v>359880</v>
      </c>
      <c r="E23" s="38" t="n">
        <f aca="false">E$17*INDEX($C$8:$E$8,1)</f>
        <v>1799400</v>
      </c>
    </row>
    <row r="24" customFormat="false" ht="15" hidden="false" customHeight="true" outlineLevel="0" collapsed="false">
      <c r="B24" s="7" t="s">
        <v>23</v>
      </c>
      <c r="C24" s="38" t="n">
        <f aca="false">C$17*INDEX($C$8:$E$8,2)</f>
        <v>95988</v>
      </c>
      <c r="D24" s="38" t="n">
        <f aca="false">D$17*INDEX($C$8:$E$8,2)</f>
        <v>959880</v>
      </c>
      <c r="E24" s="38" t="n">
        <f aca="false">E$17*INDEX($C$8:$E$8,2)</f>
        <v>4799400</v>
      </c>
    </row>
    <row r="25" customFormat="false" ht="15" hidden="false" customHeight="true" outlineLevel="0" collapsed="false">
      <c r="B25" s="7" t="s">
        <v>24</v>
      </c>
      <c r="C25" s="38" t="n">
        <f aca="false">C$17*INDEX($C$8:$E$8,3)</f>
        <v>239988</v>
      </c>
      <c r="D25" s="38" t="n">
        <f aca="false">D$17*INDEX($C$8:$E$8,3)</f>
        <v>2399880</v>
      </c>
      <c r="E25" s="38" t="n">
        <f aca="false">E$17*INDEX($C$8:$E$8,3)</f>
        <v>11999400</v>
      </c>
    </row>
    <row r="26" customFormat="false" ht="19.5" hidden="false" customHeight="true" outlineLevel="0" collapsed="false">
      <c r="B26" s="5" t="s">
        <v>484</v>
      </c>
      <c r="C26" s="5" t="s">
        <v>480</v>
      </c>
      <c r="D26" s="5" t="s">
        <v>481</v>
      </c>
      <c r="E26" s="5" t="s">
        <v>482</v>
      </c>
    </row>
    <row r="27" customFormat="false" ht="15" hidden="false" customHeight="true" outlineLevel="0" collapsed="false">
      <c r="B27" s="7" t="s">
        <v>22</v>
      </c>
      <c r="C27" s="38" t="n">
        <f aca="false">C$17*INDEX($C$10:$E$10,1)</f>
        <v>2566</v>
      </c>
      <c r="D27" s="38" t="n">
        <f aca="false">D$17*INDEX($C$10:$E$10,1)</f>
        <v>25660</v>
      </c>
      <c r="E27" s="38" t="n">
        <f aca="false">E$17*INDEX($C$10:$E$10,1)</f>
        <v>128300</v>
      </c>
    </row>
    <row r="28" customFormat="false" ht="15" hidden="false" customHeight="true" outlineLevel="0" collapsed="false">
      <c r="B28" s="7" t="s">
        <v>23</v>
      </c>
      <c r="C28" s="38" t="n">
        <f aca="false">C$17*INDEX($C$10:$E$10,2)</f>
        <v>5219</v>
      </c>
      <c r="D28" s="38" t="n">
        <f aca="false">D$17*INDEX($C$10:$E$10,2)</f>
        <v>52190</v>
      </c>
      <c r="E28" s="38" t="n">
        <f aca="false">E$17*INDEX($C$10:$E$10,2)</f>
        <v>260950</v>
      </c>
    </row>
    <row r="29" customFormat="false" ht="15" hidden="false" customHeight="true" outlineLevel="0" collapsed="false">
      <c r="B29" s="7" t="s">
        <v>24</v>
      </c>
      <c r="C29" s="38" t="n">
        <f aca="false">C$17*INDEX($C$10:$E$10,3)</f>
        <v>9749</v>
      </c>
      <c r="D29" s="38" t="n">
        <f aca="false">D$17*INDEX($C$10:$E$10,3)</f>
        <v>97490</v>
      </c>
      <c r="E29" s="38" t="n">
        <f aca="false">E$17*INDEX($C$10:$E$10,3)</f>
        <v>487450</v>
      </c>
    </row>
    <row r="31" customFormat="false" ht="24" hidden="false" customHeight="true" outlineLevel="0" collapsed="false">
      <c r="B31" s="4" t="s">
        <v>485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customFormat="false" ht="30" hidden="false" customHeight="true" outlineLevel="0" collapsed="false">
      <c r="B32" s="47" t="str">
        <f aca="false">IF(SUM(D35:O37)+SUM(D38:O39)=0,"NO SCENARIO INPUTS: outputs below show '-'.","Scenario active: driven by Planning Inputs (sign-ups, funnel, mix, churn, upgrades). A planning scenario, not a documented forecast.")</f>
        <v>Scenario active: driven by Planning Inputs (sign-ups, funnel, mix, churn, upgrades). A planning scenario, not a documented forecast.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customFormat="false" ht="19.5" hidden="false" customHeight="true" outlineLevel="0" collapsed="false">
      <c r="B33" s="5" t="s">
        <v>319</v>
      </c>
      <c r="C33" s="5" t="s">
        <v>486</v>
      </c>
      <c r="D33" s="5" t="s">
        <v>487</v>
      </c>
      <c r="E33" s="5" t="s">
        <v>488</v>
      </c>
      <c r="F33" s="5" t="s">
        <v>489</v>
      </c>
      <c r="G33" s="5" t="s">
        <v>490</v>
      </c>
      <c r="H33" s="5" t="s">
        <v>491</v>
      </c>
      <c r="I33" s="5" t="s">
        <v>492</v>
      </c>
      <c r="J33" s="5" t="s">
        <v>493</v>
      </c>
      <c r="K33" s="5" t="s">
        <v>494</v>
      </c>
      <c r="L33" s="5" t="s">
        <v>495</v>
      </c>
      <c r="M33" s="5" t="s">
        <v>496</v>
      </c>
      <c r="N33" s="5" t="s">
        <v>497</v>
      </c>
      <c r="O33" s="5" t="s">
        <v>498</v>
      </c>
    </row>
    <row r="34" customFormat="false" ht="24" hidden="false" customHeight="true" outlineLevel="0" collapsed="false">
      <c r="B34" s="41" t="s">
        <v>499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customFormat="false" ht="15" hidden="false" customHeight="true" outlineLevel="0" collapsed="false">
      <c r="B35" s="7" t="s">
        <v>500</v>
      </c>
      <c r="C35" s="11"/>
      <c r="D35" s="48" t="n">
        <f aca="false">'Planning Inputs'!$D$14*(1+'Planning Inputs'!$D$15)^0*'Planning Inputs'!$D$23*'Planning Inputs'!$D$34</f>
        <v>1.809864</v>
      </c>
      <c r="E35" s="48" t="n">
        <f aca="false">'Planning Inputs'!$D$14*(1+'Planning Inputs'!$D$15)^1*'Planning Inputs'!$D$23*'Planning Inputs'!$D$34</f>
        <v>1.95465312</v>
      </c>
      <c r="F35" s="48" t="n">
        <f aca="false">'Planning Inputs'!$D$14*(1+'Planning Inputs'!$D$15)^2*'Planning Inputs'!$D$23*'Planning Inputs'!$D$34</f>
        <v>2.1110253696</v>
      </c>
      <c r="G35" s="48" t="n">
        <f aca="false">'Planning Inputs'!$D$14*(1+'Planning Inputs'!$D$15)^3*'Planning Inputs'!$D$23*'Planning Inputs'!$D$34</f>
        <v>2.279907399168</v>
      </c>
      <c r="H35" s="48" t="n">
        <f aca="false">'Planning Inputs'!$D$14*(1+'Planning Inputs'!$D$15)^4*'Planning Inputs'!$D$23*'Planning Inputs'!$D$34</f>
        <v>2.46229999110144</v>
      </c>
      <c r="I35" s="48" t="n">
        <f aca="false">'Planning Inputs'!$D$14*(1+'Planning Inputs'!$D$15)^5*'Planning Inputs'!$D$23*'Planning Inputs'!$D$34</f>
        <v>2.65928399038956</v>
      </c>
      <c r="J35" s="48" t="n">
        <f aca="false">'Planning Inputs'!$D$14*(1+'Planning Inputs'!$D$15)^6*'Planning Inputs'!$D$23*'Planning Inputs'!$D$34</f>
        <v>2.87202670962072</v>
      </c>
      <c r="K35" s="48" t="n">
        <f aca="false">'Planning Inputs'!$D$14*(1+'Planning Inputs'!$D$15)^7*'Planning Inputs'!$D$23*'Planning Inputs'!$D$34</f>
        <v>3.10178884639038</v>
      </c>
      <c r="L35" s="48" t="n">
        <f aca="false">'Planning Inputs'!$D$14*(1+'Planning Inputs'!$D$15)^8*'Planning Inputs'!$D$23*'Planning Inputs'!$D$34</f>
        <v>3.34993195410161</v>
      </c>
      <c r="M35" s="48" t="n">
        <f aca="false">'Planning Inputs'!$D$14*(1+'Planning Inputs'!$D$15)^9*'Planning Inputs'!$D$23*'Planning Inputs'!$D$34</f>
        <v>3.61792651042974</v>
      </c>
      <c r="N35" s="48" t="n">
        <f aca="false">'Planning Inputs'!$D$14*(1+'Planning Inputs'!$D$15)^10*'Planning Inputs'!$D$23*'Planning Inputs'!$D$34</f>
        <v>3.90736063126412</v>
      </c>
      <c r="O35" s="48" t="n">
        <f aca="false">'Planning Inputs'!$D$14*(1+'Planning Inputs'!$D$15)^11*'Planning Inputs'!$D$23*'Planning Inputs'!$D$34</f>
        <v>4.21994948176525</v>
      </c>
    </row>
    <row r="36" customFormat="false" ht="15" hidden="false" customHeight="true" outlineLevel="0" collapsed="false">
      <c r="B36" s="7" t="s">
        <v>501</v>
      </c>
      <c r="C36" s="11"/>
      <c r="D36" s="48" t="n">
        <f aca="false">'Planning Inputs'!$D$14*(1+'Planning Inputs'!$D$15)^0*'Planning Inputs'!$D$23*'Planning Inputs'!$D$35</f>
        <v>0.904932</v>
      </c>
      <c r="E36" s="48" t="n">
        <f aca="false">'Planning Inputs'!$D$14*(1+'Planning Inputs'!$D$15)^1*'Planning Inputs'!$D$23*'Planning Inputs'!$D$35</f>
        <v>0.97732656</v>
      </c>
      <c r="F36" s="48" t="n">
        <f aca="false">'Planning Inputs'!$D$14*(1+'Planning Inputs'!$D$15)^2*'Planning Inputs'!$D$23*'Planning Inputs'!$D$35</f>
        <v>1.0555126848</v>
      </c>
      <c r="G36" s="48" t="n">
        <f aca="false">'Planning Inputs'!$D$14*(1+'Planning Inputs'!$D$15)^3*'Planning Inputs'!$D$23*'Planning Inputs'!$D$35</f>
        <v>1.139953699584</v>
      </c>
      <c r="H36" s="48" t="n">
        <f aca="false">'Planning Inputs'!$D$14*(1+'Planning Inputs'!$D$15)^4*'Planning Inputs'!$D$23*'Planning Inputs'!$D$35</f>
        <v>1.23114999555072</v>
      </c>
      <c r="I36" s="48" t="n">
        <f aca="false">'Planning Inputs'!$D$14*(1+'Planning Inputs'!$D$15)^5*'Planning Inputs'!$D$23*'Planning Inputs'!$D$35</f>
        <v>1.32964199519478</v>
      </c>
      <c r="J36" s="48" t="n">
        <f aca="false">'Planning Inputs'!$D$14*(1+'Planning Inputs'!$D$15)^6*'Planning Inputs'!$D$23*'Planning Inputs'!$D$35</f>
        <v>1.43601335481036</v>
      </c>
      <c r="K36" s="48" t="n">
        <f aca="false">'Planning Inputs'!$D$14*(1+'Planning Inputs'!$D$15)^7*'Planning Inputs'!$D$23*'Planning Inputs'!$D$35</f>
        <v>1.55089442319519</v>
      </c>
      <c r="L36" s="48" t="n">
        <f aca="false">'Planning Inputs'!$D$14*(1+'Planning Inputs'!$D$15)^8*'Planning Inputs'!$D$23*'Planning Inputs'!$D$35</f>
        <v>1.6749659770508</v>
      </c>
      <c r="M36" s="48" t="n">
        <f aca="false">'Planning Inputs'!$D$14*(1+'Planning Inputs'!$D$15)^9*'Planning Inputs'!$D$23*'Planning Inputs'!$D$35</f>
        <v>1.80896325521487</v>
      </c>
      <c r="N36" s="48" t="n">
        <f aca="false">'Planning Inputs'!$D$14*(1+'Planning Inputs'!$D$15)^10*'Planning Inputs'!$D$23*'Planning Inputs'!$D$35</f>
        <v>1.95368031563206</v>
      </c>
      <c r="O36" s="48" t="n">
        <f aca="false">'Planning Inputs'!$D$14*(1+'Planning Inputs'!$D$15)^11*'Planning Inputs'!$D$23*'Planning Inputs'!$D$35</f>
        <v>2.10997474088262</v>
      </c>
    </row>
    <row r="37" customFormat="false" ht="15" hidden="false" customHeight="true" outlineLevel="0" collapsed="false">
      <c r="B37" s="7" t="s">
        <v>502</v>
      </c>
      <c r="C37" s="11"/>
      <c r="D37" s="48" t="n">
        <f aca="false">'Planning Inputs'!$D$14*(1+'Planning Inputs'!$D$15)^0*'Planning Inputs'!$D$23*'Planning Inputs'!$D$36</f>
        <v>0.301644</v>
      </c>
      <c r="E37" s="48" t="n">
        <f aca="false">'Planning Inputs'!$D$14*(1+'Planning Inputs'!$D$15)^1*'Planning Inputs'!$D$23*'Planning Inputs'!$D$36</f>
        <v>0.32577552</v>
      </c>
      <c r="F37" s="48" t="n">
        <f aca="false">'Planning Inputs'!$D$14*(1+'Planning Inputs'!$D$15)^2*'Planning Inputs'!$D$23*'Planning Inputs'!$D$36</f>
        <v>0.3518375616</v>
      </c>
      <c r="G37" s="48" t="n">
        <f aca="false">'Planning Inputs'!$D$14*(1+'Planning Inputs'!$D$15)^3*'Planning Inputs'!$D$23*'Planning Inputs'!$D$36</f>
        <v>0.379984566528</v>
      </c>
      <c r="H37" s="48" t="n">
        <f aca="false">'Planning Inputs'!$D$14*(1+'Planning Inputs'!$D$15)^4*'Planning Inputs'!$D$23*'Planning Inputs'!$D$36</f>
        <v>0.41038333185024</v>
      </c>
      <c r="I37" s="48" t="n">
        <f aca="false">'Planning Inputs'!$D$14*(1+'Planning Inputs'!$D$15)^5*'Planning Inputs'!$D$23*'Planning Inputs'!$D$36</f>
        <v>0.443213998398259</v>
      </c>
      <c r="J37" s="48" t="n">
        <f aca="false">'Planning Inputs'!$D$14*(1+'Planning Inputs'!$D$15)^6*'Planning Inputs'!$D$23*'Planning Inputs'!$D$36</f>
        <v>0.47867111827012</v>
      </c>
      <c r="K37" s="48" t="n">
        <f aca="false">'Planning Inputs'!$D$14*(1+'Planning Inputs'!$D$15)^7*'Planning Inputs'!$D$23*'Planning Inputs'!$D$36</f>
        <v>0.51696480773173</v>
      </c>
      <c r="L37" s="48" t="n">
        <f aca="false">'Planning Inputs'!$D$14*(1+'Planning Inputs'!$D$15)^8*'Planning Inputs'!$D$23*'Planning Inputs'!$D$36</f>
        <v>0.558321992350268</v>
      </c>
      <c r="M37" s="48" t="n">
        <f aca="false">'Planning Inputs'!$D$14*(1+'Planning Inputs'!$D$15)^9*'Planning Inputs'!$D$23*'Planning Inputs'!$D$36</f>
        <v>0.60298775173829</v>
      </c>
      <c r="N37" s="48" t="n">
        <f aca="false">'Planning Inputs'!$D$14*(1+'Planning Inputs'!$D$15)^10*'Planning Inputs'!$D$23*'Planning Inputs'!$D$36</f>
        <v>0.651226771877353</v>
      </c>
      <c r="O37" s="48" t="n">
        <f aca="false">'Planning Inputs'!$D$14*(1+'Planning Inputs'!$D$15)^11*'Planning Inputs'!$D$23*'Planning Inputs'!$D$36</f>
        <v>0.703324913627541</v>
      </c>
    </row>
    <row r="38" customFormat="false" ht="15" hidden="false" customHeight="true" outlineLevel="0" collapsed="false">
      <c r="B38" s="7" t="s">
        <v>503</v>
      </c>
      <c r="C38" s="11"/>
      <c r="D38" s="49" t="n">
        <v>0</v>
      </c>
      <c r="E38" s="50" t="n">
        <f aca="false">D45*'Planning Inputs'!$D$40</f>
        <v>0.03619728</v>
      </c>
      <c r="F38" s="50" t="n">
        <f aca="false">E45*'Planning Inputs'!$D$40</f>
        <v>0.0734804784</v>
      </c>
      <c r="G38" s="50" t="n">
        <f aca="false">F45*'Planning Inputs'!$D$40</f>
        <v>0.112026961872</v>
      </c>
      <c r="H38" s="50" t="n">
        <f aca="false">G45*'Planning Inputs'!$D$40</f>
        <v>0.15202376176176</v>
      </c>
      <c r="I38" s="50" t="n">
        <f aca="false">H45*'Planning Inputs'!$D$40</f>
        <v>0.193668573495701</v>
      </c>
      <c r="J38" s="50" t="n">
        <f aca="false">I45*'Planning Inputs'!$D$40</f>
        <v>0.237170824628707</v>
      </c>
      <c r="K38" s="50" t="n">
        <f aca="false">J45*'Planning Inputs'!$D$40</f>
        <v>0.282752817589686</v>
      </c>
      <c r="L38" s="50" t="n">
        <f aca="false">K45*'Planning Inputs'!$D$40</f>
        <v>0.330650953638009</v>
      </c>
      <c r="M38" s="50" t="n">
        <f aca="false">L45*'Planning Inputs'!$D$40</f>
        <v>0.381117045038141</v>
      </c>
      <c r="N38" s="50" t="n">
        <f aca="false">M45*'Planning Inputs'!$D$40</f>
        <v>0.434419722994829</v>
      </c>
      <c r="O38" s="50" t="n">
        <f aca="false">N45*'Planning Inputs'!$D$40</f>
        <v>0.490845949470369</v>
      </c>
    </row>
    <row r="39" customFormat="false" ht="15" hidden="false" customHeight="true" outlineLevel="0" collapsed="false">
      <c r="B39" s="7" t="s">
        <v>504</v>
      </c>
      <c r="C39" s="11"/>
      <c r="D39" s="49" t="n">
        <v>0</v>
      </c>
      <c r="E39" s="50" t="n">
        <f aca="false">D46*'Planning Inputs'!$D$41</f>
        <v>0.00904932</v>
      </c>
      <c r="F39" s="50" t="n">
        <f aca="false">E46*'Planning Inputs'!$D$41</f>
        <v>0.0189583254</v>
      </c>
      <c r="G39" s="50" t="n">
        <f aca="false">F46*'Planning Inputs'!$D$41</f>
        <v>0.029774298897</v>
      </c>
      <c r="H39" s="50" t="n">
        <f aca="false">G46*'Planning Inputs'!$D$41</f>
        <v>0.041549748039135</v>
      </c>
      <c r="I39" s="50" t="n">
        <f aca="false">H46*'Planning Inputs'!$D$41</f>
        <v>0.0543427419112814</v>
      </c>
      <c r="J39" s="50" t="n">
        <f aca="false">I46*'Planning Inputs'!$D$41</f>
        <v>0.0682172790504042</v>
      </c>
      <c r="K39" s="50" t="n">
        <f aca="false">J46*'Planning Inputs'!$D$41</f>
        <v>0.0832436888685347</v>
      </c>
      <c r="L39" s="50" t="n">
        <f aca="false">K46*'Planning Inputs'!$D$41</f>
        <v>0.0994990690546701</v>
      </c>
      <c r="M39" s="50" t="n">
        <f aca="false">L46*'Planning Inputs'!$D$41</f>
        <v>0.117067761635191</v>
      </c>
      <c r="N39" s="50" t="n">
        <f aca="false">M46*'Planning Inputs'!$D$41</f>
        <v>0.136041870596842</v>
      </c>
      <c r="O39" s="50" t="n">
        <f aca="false">N46*'Planning Inputs'!$D$41</f>
        <v>0.15652182421819</v>
      </c>
    </row>
    <row r="40" customFormat="false" ht="15" hidden="false" customHeight="true" outlineLevel="0" collapsed="false">
      <c r="B40" s="7" t="s">
        <v>505</v>
      </c>
      <c r="C40" s="11"/>
      <c r="D40" s="3" t="s">
        <v>506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true" outlineLevel="0" collapsed="false">
      <c r="B41" s="7" t="s">
        <v>507</v>
      </c>
      <c r="C41" s="51" t="n">
        <f aca="false">'Planning Inputs'!$D$37</f>
        <v>0.03</v>
      </c>
      <c r="D41" s="52" t="s">
        <v>508</v>
      </c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</row>
    <row r="42" customFormat="false" ht="15" hidden="false" customHeight="true" outlineLevel="0" collapsed="false">
      <c r="B42" s="7" t="s">
        <v>509</v>
      </c>
      <c r="C42" s="51" t="n">
        <f aca="false">'Planning Inputs'!$D$38</f>
        <v>0.015</v>
      </c>
      <c r="D42" s="52" t="s">
        <v>510</v>
      </c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</row>
    <row r="43" customFormat="false" ht="15" hidden="false" customHeight="true" outlineLevel="0" collapsed="false">
      <c r="B43" s="7" t="s">
        <v>511</v>
      </c>
      <c r="C43" s="51" t="n">
        <f aca="false">'Planning Inputs'!$D$39</f>
        <v>0.007</v>
      </c>
      <c r="D43" s="52" t="s">
        <v>512</v>
      </c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</row>
    <row r="44" customFormat="false" ht="24" hidden="false" customHeight="true" outlineLevel="0" collapsed="false">
      <c r="B44" s="41" t="s">
        <v>513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</row>
    <row r="45" customFormat="false" ht="15" hidden="false" customHeight="true" outlineLevel="0" collapsed="false">
      <c r="B45" s="7" t="s">
        <v>514</v>
      </c>
      <c r="C45" s="11"/>
      <c r="D45" s="53" t="n">
        <f aca="false">N(D35)-N(D38)</f>
        <v>1.809864</v>
      </c>
      <c r="E45" s="53" t="n">
        <f aca="false">D45*(1-$C$41)+N(E35)-N(E38)</f>
        <v>3.67402392</v>
      </c>
      <c r="F45" s="53" t="n">
        <f aca="false">E45*(1-$C$41)+N(F35)-N(F38)</f>
        <v>5.6013480936</v>
      </c>
      <c r="G45" s="53" t="n">
        <f aca="false">F45*(1-$C$41)+N(G35)-N(G38)</f>
        <v>7.601188088088</v>
      </c>
      <c r="H45" s="53" t="n">
        <f aca="false">G45*(1-$C$41)+N(H35)-N(H38)</f>
        <v>9.68342867478504</v>
      </c>
      <c r="I45" s="53" t="n">
        <f aca="false">H45*(1-$C$41)+N(I35)-N(I38)</f>
        <v>11.8585412314353</v>
      </c>
      <c r="J45" s="53" t="n">
        <f aca="false">I45*(1-$C$41)+N(J35)-N(J38)</f>
        <v>14.1376408794843</v>
      </c>
      <c r="K45" s="53" t="n">
        <f aca="false">J45*(1-$C$41)+N(K35)-N(K38)</f>
        <v>16.5325476819005</v>
      </c>
      <c r="L45" s="53" t="n">
        <f aca="false">K45*(1-$C$41)+N(L35)-N(L38)</f>
        <v>19.055852251907</v>
      </c>
      <c r="M45" s="53" t="n">
        <f aca="false">L45*(1-$C$41)+N(M35)-N(M38)</f>
        <v>21.7209861497414</v>
      </c>
      <c r="N45" s="53" t="n">
        <f aca="false">M45*(1-$C$41)+N(N35)-N(N38)</f>
        <v>24.5422974735185</v>
      </c>
      <c r="O45" s="53" t="n">
        <f aca="false">N45*(1-$C$41)+N(O35)-N(O38)</f>
        <v>27.5351320816078</v>
      </c>
    </row>
    <row r="46" customFormat="false" ht="15" hidden="false" customHeight="true" outlineLevel="0" collapsed="false">
      <c r="B46" s="7" t="s">
        <v>515</v>
      </c>
      <c r="C46" s="11"/>
      <c r="D46" s="53" t="n">
        <f aca="false">N(D36)+N(D38)-N(D39)</f>
        <v>0.904932</v>
      </c>
      <c r="E46" s="53" t="n">
        <f aca="false">D46*(1-$C$42)+N(E36)+N(E38)-N(E39)</f>
        <v>1.89583254</v>
      </c>
      <c r="F46" s="53" t="n">
        <f aca="false">E46*(1-$C$42)+N(F36)+N(F38)-N(F39)</f>
        <v>2.9774298897</v>
      </c>
      <c r="G46" s="53" t="n">
        <f aca="false">F46*(1-$C$42)+N(G36)+N(G38)-N(G39)</f>
        <v>4.1549748039135</v>
      </c>
      <c r="H46" s="53" t="n">
        <f aca="false">G46*(1-$C$42)+N(H36)+N(H38)-N(H39)</f>
        <v>5.43427419112814</v>
      </c>
      <c r="I46" s="53" t="n">
        <f aca="false">H46*(1-$C$42)+N(I36)+N(I38)-N(I39)</f>
        <v>6.82172790504042</v>
      </c>
      <c r="J46" s="53" t="n">
        <f aca="false">I46*(1-$C$42)+N(J36)+N(J38)-N(J39)</f>
        <v>8.32436888685347</v>
      </c>
      <c r="K46" s="53" t="n">
        <f aca="false">J46*(1-$C$42)+N(K36)+N(K38)-N(K39)</f>
        <v>9.94990690546701</v>
      </c>
      <c r="L46" s="53" t="n">
        <f aca="false">K46*(1-$C$42)+N(L36)+N(L38)-N(L39)</f>
        <v>11.7067761635191</v>
      </c>
      <c r="M46" s="53" t="n">
        <f aca="false">L46*(1-$C$42)+N(M36)+N(M38)-N(M39)</f>
        <v>13.6041870596842</v>
      </c>
      <c r="N46" s="53" t="n">
        <f aca="false">M46*(1-$C$42)+N(N36)+N(N38)-N(N39)</f>
        <v>15.652182421819</v>
      </c>
      <c r="O46" s="53" t="n">
        <f aca="false">N46*(1-$C$42)+N(O36)+N(O38)-N(O39)</f>
        <v>17.8616985516265</v>
      </c>
    </row>
    <row r="47" customFormat="false" ht="15" hidden="false" customHeight="true" outlineLevel="0" collapsed="false">
      <c r="B47" s="7" t="s">
        <v>516</v>
      </c>
      <c r="C47" s="11"/>
      <c r="D47" s="53" t="n">
        <f aca="false">N(D37)+N(D39)</f>
        <v>0.301644</v>
      </c>
      <c r="E47" s="53" t="n">
        <f aca="false">D47*(1-$C$43)+N(E37)+N(E39)</f>
        <v>0.634357332</v>
      </c>
      <c r="F47" s="53" t="n">
        <f aca="false">E47*(1-$C$43)+N(F37)+N(F39)</f>
        <v>1.000712717676</v>
      </c>
      <c r="G47" s="53" t="n">
        <f aca="false">F47*(1-$C$43)+N(G37)+N(G39)</f>
        <v>1.40346659407727</v>
      </c>
      <c r="H47" s="53" t="n">
        <f aca="false">G47*(1-$C$43)+N(H37)+N(H39)</f>
        <v>1.8455754078081</v>
      </c>
      <c r="I47" s="53" t="n">
        <f aca="false">H47*(1-$C$43)+N(I37)+N(I39)</f>
        <v>2.33021312026299</v>
      </c>
      <c r="J47" s="53" t="n">
        <f aca="false">I47*(1-$C$43)+N(J37)+N(J39)</f>
        <v>2.86079002574167</v>
      </c>
      <c r="K47" s="53" t="n">
        <f aca="false">J47*(1-$C$43)+N(K37)+N(K39)</f>
        <v>3.44097299216174</v>
      </c>
      <c r="L47" s="53" t="n">
        <f aca="false">K47*(1-$C$43)+N(L37)+N(L39)</f>
        <v>4.07470724262155</v>
      </c>
      <c r="M47" s="53" t="n">
        <f aca="false">L47*(1-$C$43)+N(M37)+N(M39)</f>
        <v>4.76623980529668</v>
      </c>
      <c r="N47" s="53" t="n">
        <f aca="false">M47*(1-$C$43)+N(N37)+N(N39)</f>
        <v>5.5201447691338</v>
      </c>
      <c r="O47" s="53" t="n">
        <f aca="false">N47*(1-$C$43)+N(O37)+N(O39)</f>
        <v>6.34135049359559</v>
      </c>
    </row>
    <row r="48" customFormat="false" ht="15" hidden="false" customHeight="true" outlineLevel="0" collapsed="false">
      <c r="B48" s="7" t="s">
        <v>517</v>
      </c>
      <c r="C48" s="11"/>
      <c r="D48" s="53" t="n">
        <f aca="false">SUM(D45:D47)</f>
        <v>3.01644</v>
      </c>
      <c r="E48" s="53" t="n">
        <f aca="false">SUM(E45:E47)</f>
        <v>6.204213792</v>
      </c>
      <c r="F48" s="53" t="n">
        <f aca="false">SUM(F45:F47)</f>
        <v>9.579490700976</v>
      </c>
      <c r="G48" s="53" t="n">
        <f aca="false">SUM(G45:G47)</f>
        <v>13.1596294860788</v>
      </c>
      <c r="H48" s="53" t="n">
        <f aca="false">SUM(H45:H47)</f>
        <v>16.9632782737213</v>
      </c>
      <c r="I48" s="53" t="n">
        <f aca="false">SUM(I45:I47)</f>
        <v>21.0104822567387</v>
      </c>
      <c r="J48" s="53" t="n">
        <f aca="false">SUM(J45:J47)</f>
        <v>25.3227997920794</v>
      </c>
      <c r="K48" s="53" t="n">
        <f aca="false">SUM(K45:K47)</f>
        <v>29.9234275795292</v>
      </c>
      <c r="L48" s="53" t="n">
        <f aca="false">SUM(L45:L47)</f>
        <v>34.8373356580477</v>
      </c>
      <c r="M48" s="53" t="n">
        <f aca="false">SUM(M45:M47)</f>
        <v>40.0914130147223</v>
      </c>
      <c r="N48" s="53" t="n">
        <f aca="false">SUM(N45:N47)</f>
        <v>45.7146246644712</v>
      </c>
      <c r="O48" s="53" t="n">
        <f aca="false">SUM(O45:O47)</f>
        <v>51.7381811268299</v>
      </c>
    </row>
    <row r="49" customFormat="false" ht="15" hidden="false" customHeight="true" outlineLevel="0" collapsed="false">
      <c r="B49" s="7" t="s">
        <v>518</v>
      </c>
      <c r="C49" s="11"/>
      <c r="D49" s="38" t="n">
        <f aca="false">D45*C$7</f>
        <v>5427.782136</v>
      </c>
      <c r="E49" s="38" t="n">
        <f aca="false">E45*C$7</f>
        <v>11018.39773608</v>
      </c>
      <c r="F49" s="38" t="n">
        <f aca="false">F45*C$7</f>
        <v>16798.4429327064</v>
      </c>
      <c r="G49" s="38" t="n">
        <f aca="false">G45*C$7</f>
        <v>22795.9630761759</v>
      </c>
      <c r="H49" s="38" t="n">
        <f aca="false">H45*C$7</f>
        <v>29040.6025956803</v>
      </c>
      <c r="I49" s="38" t="n">
        <f aca="false">I45*C$7</f>
        <v>35563.7651530746</v>
      </c>
      <c r="J49" s="38" t="n">
        <f aca="false">J45*C$7</f>
        <v>42398.7849975734</v>
      </c>
      <c r="K49" s="38" t="n">
        <f aca="false">K45*C$7</f>
        <v>49581.1104980195</v>
      </c>
      <c r="L49" s="38" t="n">
        <f aca="false">L45*C$7</f>
        <v>57148.5009034692</v>
      </c>
      <c r="M49" s="38" t="n">
        <f aca="false">M45*C$7</f>
        <v>65141.2374630745</v>
      </c>
      <c r="N49" s="38" t="n">
        <f aca="false">N45*C$7</f>
        <v>73602.3501230819</v>
      </c>
      <c r="O49" s="38" t="n">
        <f aca="false">O45*C$7</f>
        <v>82577.8611127418</v>
      </c>
    </row>
    <row r="50" customFormat="false" ht="15" hidden="false" customHeight="true" outlineLevel="0" collapsed="false">
      <c r="B50" s="7" t="s">
        <v>519</v>
      </c>
      <c r="C50" s="11"/>
      <c r="D50" s="38" t="n">
        <f aca="false">D46*D$7</f>
        <v>7238.551068</v>
      </c>
      <c r="E50" s="38" t="n">
        <f aca="false">E46*D$7</f>
        <v>15164.76448746</v>
      </c>
      <c r="F50" s="38" t="n">
        <f aca="false">F46*D$7</f>
        <v>23816.4616877103</v>
      </c>
      <c r="G50" s="38" t="n">
        <f aca="false">G46*D$7</f>
        <v>33235.6434565041</v>
      </c>
      <c r="H50" s="38" t="n">
        <f aca="false">H46*D$7</f>
        <v>43468.759254834</v>
      </c>
      <c r="I50" s="38" t="n">
        <f aca="false">I46*D$7</f>
        <v>54567.0015124183</v>
      </c>
      <c r="J50" s="38" t="n">
        <f aca="false">J46*D$7</f>
        <v>66586.6267259409</v>
      </c>
      <c r="K50" s="38" t="n">
        <f aca="false">K46*D$7</f>
        <v>79589.3053368306</v>
      </c>
      <c r="L50" s="38" t="n">
        <f aca="false">L46*D$7</f>
        <v>93642.5025319897</v>
      </c>
      <c r="M50" s="38" t="n">
        <f aca="false">M46*D$7</f>
        <v>108819.892290414</v>
      </c>
      <c r="N50" s="38" t="n">
        <f aca="false">N46*D$7</f>
        <v>125201.80719213</v>
      </c>
      <c r="O50" s="38" t="n">
        <f aca="false">O46*D$7</f>
        <v>142875.72671446</v>
      </c>
    </row>
    <row r="51" customFormat="false" ht="15" hidden="false" customHeight="true" outlineLevel="0" collapsed="false">
      <c r="B51" s="7" t="s">
        <v>520</v>
      </c>
      <c r="C51" s="11"/>
      <c r="D51" s="38" t="n">
        <f aca="false">D47*E$7</f>
        <v>6032.578356</v>
      </c>
      <c r="E51" s="38" t="n">
        <f aca="false">E47*E$7</f>
        <v>12686.512282668</v>
      </c>
      <c r="F51" s="38" t="n">
        <f aca="false">F47*E$7</f>
        <v>20013.2536408023</v>
      </c>
      <c r="G51" s="38" t="n">
        <f aca="false">G47*E$7</f>
        <v>28067.9284149513</v>
      </c>
      <c r="H51" s="38" t="n">
        <f aca="false">H47*E$7</f>
        <v>36909.6625807542</v>
      </c>
      <c r="I51" s="38" t="n">
        <f aca="false">I47*E$7</f>
        <v>46601.9321921395</v>
      </c>
      <c r="J51" s="38" t="n">
        <f aca="false">J47*E$7</f>
        <v>57212.9397248077</v>
      </c>
      <c r="K51" s="38" t="n">
        <f aca="false">K47*E$7</f>
        <v>68816.0188702427</v>
      </c>
      <c r="L51" s="38" t="n">
        <f aca="false">L47*E$7</f>
        <v>81490.0701451884</v>
      </c>
      <c r="M51" s="38" t="n">
        <f aca="false">M47*E$7</f>
        <v>95320.0298661283</v>
      </c>
      <c r="N51" s="38" t="n">
        <f aca="false">N47*E$7</f>
        <v>110397.375237907</v>
      </c>
      <c r="O51" s="38" t="n">
        <f aca="false">O47*E$7</f>
        <v>126820.668521418</v>
      </c>
    </row>
    <row r="52" customFormat="false" ht="15" hidden="false" customHeight="true" outlineLevel="0" collapsed="false">
      <c r="B52" s="7" t="s">
        <v>521</v>
      </c>
      <c r="C52" s="11"/>
      <c r="D52" s="54" t="n">
        <f aca="false">SUM(D49:D51)</f>
        <v>18698.91156</v>
      </c>
      <c r="E52" s="54" t="n">
        <f aca="false">SUM(E49:E51)</f>
        <v>38869.674506208</v>
      </c>
      <c r="F52" s="54" t="n">
        <f aca="false">SUM(F49:F51)</f>
        <v>60628.158261219</v>
      </c>
      <c r="G52" s="54" t="n">
        <f aca="false">SUM(G49:G51)</f>
        <v>84099.5349476313</v>
      </c>
      <c r="H52" s="54" t="n">
        <f aca="false">SUM(H49:H51)</f>
        <v>109419.024431269</v>
      </c>
      <c r="I52" s="54" t="n">
        <f aca="false">SUM(I49:I51)</f>
        <v>136732.698857632</v>
      </c>
      <c r="J52" s="54" t="n">
        <f aca="false">SUM(J49:J51)</f>
        <v>166198.351448322</v>
      </c>
      <c r="K52" s="54" t="n">
        <f aca="false">SUM(K49:K51)</f>
        <v>197986.434705093</v>
      </c>
      <c r="L52" s="54" t="n">
        <f aca="false">SUM(L49:L51)</f>
        <v>232281.073580647</v>
      </c>
      <c r="M52" s="54" t="n">
        <f aca="false">SUM(M49:M51)</f>
        <v>269281.159619617</v>
      </c>
      <c r="N52" s="54" t="n">
        <f aca="false">SUM(N49:N51)</f>
        <v>309201.532553119</v>
      </c>
      <c r="O52" s="54" t="n">
        <f aca="false">SUM(O49:O51)</f>
        <v>352274.25634862</v>
      </c>
    </row>
    <row r="53" customFormat="false" ht="15" hidden="false" customHeight="true" outlineLevel="0" collapsed="false">
      <c r="B53" s="7" t="s">
        <v>522</v>
      </c>
      <c r="C53" s="11"/>
      <c r="D53" s="38" t="n">
        <f aca="false">D52*12</f>
        <v>224386.93872</v>
      </c>
      <c r="E53" s="38" t="n">
        <f aca="false">E52*12</f>
        <v>466436.094074496</v>
      </c>
      <c r="F53" s="38" t="n">
        <f aca="false">F52*12</f>
        <v>727537.899134628</v>
      </c>
      <c r="G53" s="38" t="n">
        <f aca="false">G52*12</f>
        <v>1009194.41937158</v>
      </c>
      <c r="H53" s="38" t="n">
        <f aca="false">H52*12</f>
        <v>1313028.29317522</v>
      </c>
      <c r="I53" s="38" t="n">
        <f aca="false">I52*12</f>
        <v>1640792.38629159</v>
      </c>
      <c r="J53" s="38" t="n">
        <f aca="false">J52*12</f>
        <v>1994380.21737986</v>
      </c>
      <c r="K53" s="38" t="n">
        <f aca="false">K52*12</f>
        <v>2375837.21646111</v>
      </c>
      <c r="L53" s="38" t="n">
        <f aca="false">L52*12</f>
        <v>2787372.88296777</v>
      </c>
      <c r="M53" s="38" t="n">
        <f aca="false">M52*12</f>
        <v>3231373.9154354</v>
      </c>
      <c r="N53" s="38" t="n">
        <f aca="false">N52*12</f>
        <v>3710418.39063742</v>
      </c>
      <c r="O53" s="38" t="n">
        <f aca="false">O52*12</f>
        <v>4227291.07618344</v>
      </c>
    </row>
    <row r="54" customFormat="false" ht="15" hidden="false" customHeight="true" outlineLevel="0" collapsed="false">
      <c r="B54" s="7" t="s">
        <v>523</v>
      </c>
      <c r="C54" s="11"/>
      <c r="D54" s="38" t="n">
        <f aca="false">N(D38)*($D$7-$C$7)+N(D39)*($E$7-$D$7)</f>
        <v>0</v>
      </c>
      <c r="E54" s="38" t="n">
        <f aca="false">N(E38)*($D$7-$C$7)+N(E39)*($E$7-$D$7)</f>
        <v>289.57824</v>
      </c>
      <c r="F54" s="38" t="n">
        <f aca="false">N(F38)*($D$7-$C$7)+N(F39)*($E$7-$D$7)</f>
        <v>594.9022968</v>
      </c>
      <c r="G54" s="38" t="n">
        <f aca="false">N(G38)*($D$7-$C$7)+N(G39)*($E$7-$D$7)</f>
        <v>917.426396124</v>
      </c>
      <c r="H54" s="38" t="n">
        <f aca="false">N(H38)*($D$7-$C$7)+N(H39)*($E$7-$D$7)</f>
        <v>1258.71578527842</v>
      </c>
      <c r="I54" s="38" t="n">
        <f aca="false">N(I38)*($D$7-$C$7)+N(I39)*($E$7-$D$7)</f>
        <v>1620.45577041388</v>
      </c>
      <c r="J54" s="38" t="n">
        <f aca="false">N(J38)*($D$7-$C$7)+N(J39)*($E$7-$D$7)</f>
        <v>2004.46147174838</v>
      </c>
      <c r="K54" s="38" t="n">
        <f aca="false">N(K38)*($D$7-$C$7)+N(K39)*($E$7-$D$7)</f>
        <v>2412.68835437085</v>
      </c>
      <c r="L54" s="38" t="n">
        <f aca="false">N(L38)*($D$7-$C$7)+N(L39)*($E$7-$D$7)</f>
        <v>2847.24359684609</v>
      </c>
      <c r="M54" s="38" t="n">
        <f aca="false">N(M38)*($D$7-$C$7)+N(M39)*($E$7-$D$7)</f>
        <v>3310.398364813</v>
      </c>
      <c r="N54" s="38" t="n">
        <f aca="false">N(N38)*($D$7-$C$7)+N(N39)*($E$7-$D$7)</f>
        <v>3804.60106213624</v>
      </c>
      <c r="O54" s="38" t="n">
        <f aca="false">N(O38)*($D$7-$C$7)+N(O39)*($E$7-$D$7)</f>
        <v>4332.49163797012</v>
      </c>
    </row>
    <row r="55" customFormat="false" ht="15" hidden="false" customHeight="true" outlineLevel="0" collapsed="false">
      <c r="B55" s="7" t="s">
        <v>524</v>
      </c>
      <c r="C55" s="11"/>
      <c r="D55" s="38" t="n">
        <f aca="false">D45*$C$10+D46*$D$10+D47*$E$10</f>
        <v>12307.678488</v>
      </c>
      <c r="E55" s="38" t="n">
        <f aca="false">E45*$C$10+E46*$D$10+E47*$E$10</f>
        <v>25506.245034648</v>
      </c>
      <c r="F55" s="38" t="n">
        <f aca="false">F45*$C$10+F46*$D$10+F47*$E$10</f>
        <v>39668.2140871452</v>
      </c>
      <c r="G55" s="38" t="n">
        <f aca="false">G45*$C$10+G46*$D$10+G47*$E$10</f>
        <v>54871.8579613176</v>
      </c>
      <c r="H55" s="38" t="n">
        <f aca="false">H45*$C$10+H46*$D$10+H47*$E$10</f>
        <v>71201.6696337174</v>
      </c>
      <c r="I55" s="38" t="n">
        <f aca="false">I45*$C$10+I46*$D$10+I47*$E$10</f>
        <v>88748.8624457129</v>
      </c>
      <c r="J55" s="38" t="n">
        <f aca="false">J45*$C$10+J46*$D$10+J47*$E$10</f>
        <v>107611.909678201</v>
      </c>
      <c r="K55" s="38" t="n">
        <f aca="false">K45*$C$10+K46*$D$10+K47*$E$10</f>
        <v>127897.127191974</v>
      </c>
      <c r="L55" s="38" t="n">
        <f aca="false">L45*$C$10+L46*$D$10+L47*$E$10</f>
        <v>149719.302584117</v>
      </c>
      <c r="M55" s="38" t="n">
        <f aca="false">M45*$C$10+M46*$D$10+M47*$E$10</f>
        <v>173202.374586566</v>
      </c>
      <c r="N55" s="38" t="n">
        <f aca="false">N45*$C$10+N46*$D$10+N47*$E$10</f>
        <v>198480.166730807</v>
      </c>
      <c r="O55" s="38" t="n">
        <f aca="false">O45*$C$10+O46*$D$10+O47*$E$10</f>
        <v>225697.179624408</v>
      </c>
    </row>
    <row r="56" customFormat="false" ht="15" hidden="false" customHeight="true" outlineLevel="0" collapsed="false">
      <c r="B56" s="7" t="s">
        <v>525</v>
      </c>
      <c r="C56" s="11"/>
      <c r="D56" s="31" t="n">
        <f aca="false">IF(D52=0,0,D55/D52)</f>
        <v>0.658202935957413</v>
      </c>
      <c r="E56" s="31" t="n">
        <f aca="false">IF(E52=0,0,E55/E52)</f>
        <v>0.656199089873375</v>
      </c>
      <c r="F56" s="31" t="n">
        <f aca="false">IF(F52=0,0,F55/F52)</f>
        <v>0.654286972007842</v>
      </c>
      <c r="G56" s="31" t="n">
        <f aca="false">IF(G52=0,0,G55/G52)</f>
        <v>0.652463274564911</v>
      </c>
      <c r="H56" s="31" t="n">
        <f aca="false">IF(H52=0,0,H55/H52)</f>
        <v>0.650724771161185</v>
      </c>
      <c r="I56" s="31" t="n">
        <f aca="false">IF(I52=0,0,I55/I52)</f>
        <v>0.649068314947248</v>
      </c>
      <c r="J56" s="31" t="n">
        <f aca="false">IF(J52=0,0,J55/J52)</f>
        <v>0.647490836945284</v>
      </c>
      <c r="K56" s="31" t="n">
        <f aca="false">IF(K52=0,0,K55/K52)</f>
        <v>0.645989344585555</v>
      </c>
      <c r="L56" s="31" t="n">
        <f aca="false">IF(L52=0,0,L55/L52)</f>
        <v>0.644560920423572</v>
      </c>
      <c r="M56" s="31" t="n">
        <f aca="false">IF(M52=0,0,M55/M52)</f>
        <v>0.643202721019284</v>
      </c>
      <c r="N56" s="31" t="n">
        <f aca="false">IF(N52=0,0,N55/N52)</f>
        <v>0.64191197595927</v>
      </c>
      <c r="O56" s="31" t="n">
        <f aca="false">IF(O52=0,0,O55/O52)</f>
        <v>0.640685987002841</v>
      </c>
    </row>
    <row r="58" customFormat="false" ht="30" hidden="false" customHeight="true" outlineLevel="0" collapsed="false">
      <c r="B58" s="3" t="s">
        <v>526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60" customFormat="false" ht="15" hidden="false" customHeight="false" outlineLevel="0" collapsed="false">
      <c r="B60" s="55" t="s">
        <v>527</v>
      </c>
    </row>
    <row r="61" customFormat="false" ht="15" hidden="false" customHeight="false" outlineLevel="0" collapsed="false">
      <c r="B61" s="56" t="s">
        <v>467</v>
      </c>
      <c r="C61" s="56" t="s">
        <v>22</v>
      </c>
      <c r="D61" s="56" t="s">
        <v>23</v>
      </c>
      <c r="E61" s="56" t="s">
        <v>24</v>
      </c>
    </row>
    <row r="62" customFormat="false" ht="15" hidden="false" customHeight="false" outlineLevel="0" collapsed="false">
      <c r="B62" s="57" t="s">
        <v>528</v>
      </c>
      <c r="C62" s="58" t="n">
        <f aca="false">'Planning Inputs'!$D$37</f>
        <v>0.03</v>
      </c>
      <c r="D62" s="58" t="n">
        <f aca="false">'Planning Inputs'!$D$38</f>
        <v>0.015</v>
      </c>
      <c r="E62" s="58" t="n">
        <f aca="false">'Planning Inputs'!$D$39</f>
        <v>0.007</v>
      </c>
    </row>
    <row r="63" customFormat="false" ht="15" hidden="false" customHeight="false" outlineLevel="0" collapsed="false">
      <c r="B63" s="57" t="s">
        <v>529</v>
      </c>
      <c r="C63" s="59" t="n">
        <f aca="false">1-(1-C62)^12</f>
        <v>0.306157639004562</v>
      </c>
      <c r="D63" s="59" t="n">
        <f aca="false">1-(1-D62)^12</f>
        <v>0.165868031659123</v>
      </c>
      <c r="E63" s="59" t="n">
        <f aca="false">1-(1-E62)^12</f>
        <v>0.0808402847080858</v>
      </c>
    </row>
    <row r="64" customFormat="false" ht="15" hidden="false" customHeight="false" outlineLevel="0" collapsed="false">
      <c r="B64" s="57" t="s">
        <v>530</v>
      </c>
      <c r="C64" s="60" t="n">
        <f aca="false">1/C62</f>
        <v>33.3333333333333</v>
      </c>
      <c r="D64" s="60" t="n">
        <f aca="false">1/D62</f>
        <v>66.6666666666667</v>
      </c>
      <c r="E64" s="60" t="n">
        <f aca="false">1/E62</f>
        <v>142.857142857143</v>
      </c>
    </row>
    <row r="65" customFormat="false" ht="15" hidden="false" customHeight="false" outlineLevel="0" collapsed="false">
      <c r="B65" s="57" t="s">
        <v>531</v>
      </c>
      <c r="C65" s="61" t="n">
        <f aca="false">C10*C64</f>
        <v>85533.3333333333</v>
      </c>
      <c r="D65" s="61" t="n">
        <f aca="false">D10*D64</f>
        <v>347933.333333333</v>
      </c>
      <c r="E65" s="61" t="n">
        <f aca="false">E10*E64</f>
        <v>1392714.28571429</v>
      </c>
    </row>
    <row r="66" customFormat="false" ht="15" hidden="false" customHeight="false" outlineLevel="0" collapsed="false">
      <c r="B66" s="57" t="s">
        <v>532</v>
      </c>
      <c r="C66" s="62" t="n">
        <f aca="false">'Planning Inputs'!$D$45</f>
        <v>12</v>
      </c>
      <c r="D66" s="62" t="n">
        <f aca="false">'Planning Inputs'!$D$45</f>
        <v>12</v>
      </c>
      <c r="E66" s="62" t="n">
        <f aca="false">'Planning Inputs'!$D$46</f>
        <v>18</v>
      </c>
    </row>
    <row r="67" customFormat="false" ht="15" hidden="false" customHeight="false" outlineLevel="0" collapsed="false">
      <c r="B67" s="57" t="s">
        <v>533</v>
      </c>
      <c r="C67" s="61" t="n">
        <f aca="false">C10*C66</f>
        <v>30792</v>
      </c>
      <c r="D67" s="61" t="n">
        <f aca="false">D10*D66</f>
        <v>62628</v>
      </c>
      <c r="E67" s="61" t="n">
        <f aca="false">E10*E66</f>
        <v>175482</v>
      </c>
    </row>
    <row r="68" customFormat="false" ht="15" hidden="false" customHeight="false" outlineLevel="0" collapsed="false">
      <c r="B68" s="57" t="s">
        <v>534</v>
      </c>
      <c r="C68" s="63" t="n">
        <f aca="false">C65/C67</f>
        <v>2.77777777777778</v>
      </c>
      <c r="D68" s="63" t="n">
        <f aca="false">D65/D67</f>
        <v>5.55555555555556</v>
      </c>
      <c r="E68" s="63" t="n">
        <f aca="false">E65/E67</f>
        <v>7.93650793650794</v>
      </c>
    </row>
    <row r="69" customFormat="false" ht="15" hidden="false" customHeight="false" outlineLevel="0" collapsed="false">
      <c r="B69" s="57" t="s">
        <v>535</v>
      </c>
      <c r="C69" s="61" t="n">
        <f aca="false">C7*'Planning Inputs'!$D$51*(1+'Planning Inputs'!$D$50)</f>
        <v>70.7764</v>
      </c>
      <c r="D69" s="61" t="n">
        <f aca="false">D7*'Planning Inputs'!$D$51*(1+'Planning Inputs'!$D$50)</f>
        <v>188.7764</v>
      </c>
      <c r="E69" s="61" t="n">
        <f aca="false">E7*'Planning Inputs'!$D$51*(1+'Planning Inputs'!$D$50)</f>
        <v>471.9764</v>
      </c>
    </row>
    <row r="70" customFormat="false" ht="15" hidden="false" customHeight="false" outlineLevel="0" collapsed="false">
      <c r="B70" s="57" t="s">
        <v>536</v>
      </c>
      <c r="C70" s="64" t="n">
        <f aca="false">'Planning Inputs'!$D$52</f>
        <v>150</v>
      </c>
      <c r="D70" s="64" t="n">
        <f aca="false">'Planning Inputs'!$D$53</f>
        <v>500</v>
      </c>
      <c r="E70" s="64" t="n">
        <f aca="false">'Planning Inputs'!$D$54</f>
        <v>4000</v>
      </c>
    </row>
    <row r="71" customFormat="false" ht="15" hidden="false" customHeight="false" outlineLevel="0" collapsed="false">
      <c r="B71" s="57" t="s">
        <v>537</v>
      </c>
      <c r="C71" s="61" t="n">
        <f aca="false">C10-C69-C70</f>
        <v>2345.2236</v>
      </c>
      <c r="D71" s="61" t="n">
        <f aca="false">D10-D69-D70</f>
        <v>4530.2236</v>
      </c>
      <c r="E71" s="61" t="n">
        <f aca="false">E10-E69-E70</f>
        <v>5277.0236</v>
      </c>
    </row>
    <row r="72" customFormat="false" ht="15" hidden="false" customHeight="false" outlineLevel="0" collapsed="false">
      <c r="B72" s="57" t="s">
        <v>538</v>
      </c>
      <c r="C72" s="59" t="n">
        <f aca="false">C71/C7</f>
        <v>0.782001867289096</v>
      </c>
      <c r="D72" s="59" t="n">
        <f aca="false">D71/D7</f>
        <v>0.566348743592949</v>
      </c>
      <c r="E72" s="59" t="n">
        <f aca="false">E71/E7</f>
        <v>0.263864373218661</v>
      </c>
    </row>
    <row r="74" customFormat="false" ht="15" hidden="false" customHeight="false" outlineLevel="0" collapsed="false">
      <c r="B74" s="65" t="s">
        <v>539</v>
      </c>
    </row>
    <row r="75" customFormat="false" ht="15" hidden="false" customHeight="false" outlineLevel="0" collapsed="false">
      <c r="B75" s="56" t="s">
        <v>319</v>
      </c>
      <c r="C75" s="56"/>
      <c r="D75" s="56" t="s">
        <v>487</v>
      </c>
      <c r="E75" s="56" t="s">
        <v>488</v>
      </c>
      <c r="F75" s="56" t="s">
        <v>489</v>
      </c>
      <c r="G75" s="56" t="s">
        <v>490</v>
      </c>
      <c r="H75" s="56" t="s">
        <v>491</v>
      </c>
      <c r="I75" s="56" t="s">
        <v>492</v>
      </c>
      <c r="J75" s="56" t="s">
        <v>493</v>
      </c>
      <c r="K75" s="56" t="s">
        <v>494</v>
      </c>
      <c r="L75" s="56" t="s">
        <v>495</v>
      </c>
      <c r="M75" s="56" t="s">
        <v>496</v>
      </c>
      <c r="N75" s="56" t="s">
        <v>497</v>
      </c>
      <c r="O75" s="56" t="s">
        <v>498</v>
      </c>
    </row>
    <row r="76" customFormat="false" ht="15" hidden="false" customHeight="false" outlineLevel="0" collapsed="false">
      <c r="B76" s="57" t="s">
        <v>540</v>
      </c>
      <c r="D76" s="61" t="n">
        <f aca="false">0</f>
        <v>0</v>
      </c>
      <c r="E76" s="61" t="n">
        <f aca="false">D45*$C$41*$C$7+D46*$C$42*$D$7+D47*$C$43*$E$7</f>
        <v>313.639778592</v>
      </c>
      <c r="F76" s="61" t="n">
        <f aca="false">E45*$C$41*$C$7+E46*$C$42*$D$7+E47*$C$43*$E$7</f>
        <v>646.828985372976</v>
      </c>
      <c r="G76" s="61" t="n">
        <f aca="false">F45*$C$41*$C$7+F46*$C$42*$D$7+F47*$C$43*$E$7</f>
        <v>1001.29298878246</v>
      </c>
      <c r="H76" s="61" t="n">
        <f aca="false">G45*$C$41*$C$7+G46*$C$42*$D$7+G47*$C$43*$E$7</f>
        <v>1378.8890430375</v>
      </c>
      <c r="I76" s="61" t="n">
        <f aca="false">H45*$C$41*$C$7+H46*$C$42*$D$7+H47*$C$43*$E$7</f>
        <v>1781.6171047582</v>
      </c>
      <c r="J76" s="61" t="n">
        <f aca="false">I45*$C$41*$C$7+I46*$C$42*$D$7+I47*$C$43*$E$7</f>
        <v>2211.63150262349</v>
      </c>
      <c r="K76" s="61" t="n">
        <f aca="false">J45*$C$41*$C$7+J46*$C$42*$D$7+J47*$C$43*$E$7</f>
        <v>2671.25352888997</v>
      </c>
      <c r="L76" s="61" t="n">
        <f aca="false">K45*$C$41*$C$7+K46*$C$42*$D$7+K47*$C$43*$E$7</f>
        <v>3162.98502708474</v>
      </c>
      <c r="M76" s="61" t="n">
        <f aca="false">L45*$C$41*$C$7+L46*$C$42*$D$7+L47*$C$43*$E$7</f>
        <v>3689.52305610024</v>
      </c>
      <c r="N76" s="61" t="n">
        <f aca="false">M45*$C$41*$C$7+M46*$C$42*$D$7+M47*$C$43*$E$7</f>
        <v>4253.77571731134</v>
      </c>
      <c r="O76" s="61" t="n">
        <f aca="false">N45*$C$41*$C$7+N46*$C$42*$D$7+N47*$C$43*$E$7</f>
        <v>4858.87923823975</v>
      </c>
    </row>
    <row r="77" customFormat="false" ht="15" hidden="false" customHeight="false" outlineLevel="0" collapsed="false">
      <c r="B77" s="57" t="s">
        <v>541</v>
      </c>
      <c r="D77" s="59" t="str">
        <f aca="false">"n/a"</f>
        <v>n/a</v>
      </c>
      <c r="E77" s="59" t="n">
        <f aca="false">IF(D52=0,"n/a",(D52-E76+E54)/D52)</f>
        <v>0.998713211808356</v>
      </c>
      <c r="F77" s="59" t="n">
        <f aca="false">IF(E52=0,"n/a",(E52-F76+F54)/E52)</f>
        <v>0.998664082238078</v>
      </c>
      <c r="G77" s="59" t="n">
        <f aca="false">IF(F52=0,"n/a",(F52-G76+G54)/F52)</f>
        <v>0.998616705585924</v>
      </c>
      <c r="H77" s="59" t="n">
        <f aca="false">IF(G52=0,"n/a",(G52-H76+H54)/G52)</f>
        <v>0.998571059187974</v>
      </c>
      <c r="I77" s="59" t="n">
        <f aca="false">IF(H52=0,"n/a",(H52-I76+I54)/H52)</f>
        <v>0.998527117791609</v>
      </c>
      <c r="J77" s="59" t="n">
        <f aca="false">IF(I52=0,"n/a",(I52-J76+J54)/I52)</f>
        <v>0.998484853786944</v>
      </c>
      <c r="K77" s="59" t="n">
        <f aca="false">IF(J52=0,"n/a",(J52-K76+K54)/J52)</f>
        <v>0.998444237429157</v>
      </c>
      <c r="L77" s="59" t="n">
        <f aca="false">IF(K52=0,"n/a",(K52-L76+L54)/K52)</f>
        <v>0.99840523705218</v>
      </c>
      <c r="M77" s="59" t="n">
        <f aca="false">IF(L52=0,"n/a",(L52-M76+M54)/L52)</f>
        <v>0.998367819274111</v>
      </c>
      <c r="N77" s="59" t="n">
        <f aca="false">IF(M52=0,"n/a",(M52-N76+N54)/M52)</f>
        <v>0.998331949194628</v>
      </c>
      <c r="O77" s="59" t="n">
        <f aca="false">IF(N52=0,"n/a",(N52-O76+O54)/N52)</f>
        <v>0.998297590584616</v>
      </c>
    </row>
    <row r="78" customFormat="false" ht="15" hidden="false" customHeight="false" outlineLevel="0" collapsed="false">
      <c r="B78" s="57" t="s">
        <v>542</v>
      </c>
      <c r="D78" s="60" t="n">
        <f aca="false">D35+D36+D37</f>
        <v>3.01644</v>
      </c>
      <c r="E78" s="60" t="n">
        <f aca="false">E35+E36+E37</f>
        <v>3.2577552</v>
      </c>
      <c r="F78" s="60" t="n">
        <f aca="false">F35+F36+F37</f>
        <v>3.518375616</v>
      </c>
      <c r="G78" s="60" t="n">
        <f aca="false">G35+G36+G37</f>
        <v>3.79984566528</v>
      </c>
      <c r="H78" s="60" t="n">
        <f aca="false">H35+H36+H37</f>
        <v>4.1038333185024</v>
      </c>
      <c r="I78" s="60" t="n">
        <f aca="false">I35+I36+I37</f>
        <v>4.43213998398259</v>
      </c>
      <c r="J78" s="60" t="n">
        <f aca="false">J35+J36+J37</f>
        <v>4.7867111827012</v>
      </c>
      <c r="K78" s="60" t="n">
        <f aca="false">K35+K36+K37</f>
        <v>5.1696480773173</v>
      </c>
      <c r="L78" s="60" t="n">
        <f aca="false">L35+L36+L37</f>
        <v>5.58321992350268</v>
      </c>
      <c r="M78" s="60" t="n">
        <f aca="false">M35+M36+M37</f>
        <v>6.0298775173829</v>
      </c>
      <c r="N78" s="60" t="n">
        <f aca="false">N35+N36+N37</f>
        <v>6.51226771877353</v>
      </c>
      <c r="O78" s="60" t="n">
        <f aca="false">O35+O36+O37</f>
        <v>7.03324913627541</v>
      </c>
    </row>
    <row r="79" customFormat="false" ht="15" hidden="false" customHeight="false" outlineLevel="0" collapsed="false">
      <c r="B79" s="57" t="s">
        <v>543</v>
      </c>
      <c r="D79" s="61" t="n">
        <f aca="false">D35*$C$67+D36*$D$67+D37*$E$67</f>
        <v>165336.505992</v>
      </c>
      <c r="E79" s="61" t="n">
        <f aca="false">E35*$C$67+E36*$D$67+E37*$E$67</f>
        <v>178563.42647136</v>
      </c>
      <c r="F79" s="61" t="n">
        <f aca="false">F35*$C$67+F36*$D$67+F37*$E$67</f>
        <v>192848.500589069</v>
      </c>
      <c r="G79" s="61" t="n">
        <f aca="false">G35*$C$67+G36*$D$67+G37*$E$67</f>
        <v>208276.380636194</v>
      </c>
      <c r="H79" s="61" t="n">
        <f aca="false">H35*$C$67+H36*$D$67+H37*$E$67</f>
        <v>224938.49108709</v>
      </c>
      <c r="I79" s="61" t="n">
        <f aca="false">I35*$C$67+I36*$D$67+I37*$E$67</f>
        <v>242933.570374057</v>
      </c>
      <c r="J79" s="61" t="n">
        <f aca="false">J35*$C$67+J36*$D$67+J37*$E$67</f>
        <v>262368.256003982</v>
      </c>
      <c r="K79" s="61" t="n">
        <f aca="false">K35*$C$67+K36*$D$67+K37*$E$67</f>
        <v>283357.7164843</v>
      </c>
      <c r="L79" s="61" t="n">
        <f aca="false">L35*$C$67+L36*$D$67+L37*$E$67</f>
        <v>306026.333803044</v>
      </c>
      <c r="M79" s="61" t="n">
        <f aca="false">M35*$C$67+M36*$D$67+M37*$E$67</f>
        <v>330508.440507288</v>
      </c>
      <c r="N79" s="61" t="n">
        <f aca="false">N35*$C$67+N36*$D$67+N37*$E$67</f>
        <v>356949.115747871</v>
      </c>
      <c r="O79" s="61" t="n">
        <f aca="false">O35*$C$67+O36*$D$67+O37*$E$67</f>
        <v>385505.045007701</v>
      </c>
    </row>
    <row r="80" customFormat="false" ht="15" hidden="false" customHeight="false" outlineLevel="0" collapsed="false">
      <c r="B80" s="57" t="s">
        <v>544</v>
      </c>
      <c r="D80" s="64" t="n">
        <f aca="false">'Planning Inputs'!$D$55</f>
        <v>8000</v>
      </c>
      <c r="E80" s="64" t="n">
        <f aca="false">'Planning Inputs'!$D$55</f>
        <v>8000</v>
      </c>
      <c r="F80" s="64" t="n">
        <f aca="false">'Planning Inputs'!$D$55</f>
        <v>8000</v>
      </c>
      <c r="G80" s="64" t="n">
        <f aca="false">'Planning Inputs'!$D$55</f>
        <v>8000</v>
      </c>
      <c r="H80" s="64" t="n">
        <f aca="false">'Planning Inputs'!$D$55</f>
        <v>8000</v>
      </c>
      <c r="I80" s="64" t="n">
        <f aca="false">'Planning Inputs'!$D$55</f>
        <v>8000</v>
      </c>
      <c r="J80" s="64" t="n">
        <f aca="false">'Planning Inputs'!$D$55</f>
        <v>8000</v>
      </c>
      <c r="K80" s="64" t="n">
        <f aca="false">'Planning Inputs'!$D$55</f>
        <v>8000</v>
      </c>
      <c r="L80" s="64" t="n">
        <f aca="false">'Planning Inputs'!$D$55</f>
        <v>8000</v>
      </c>
      <c r="M80" s="64" t="n">
        <f aca="false">'Planning Inputs'!$D$55</f>
        <v>8000</v>
      </c>
      <c r="N80" s="64" t="n">
        <f aca="false">'Planning Inputs'!$D$55</f>
        <v>8000</v>
      </c>
      <c r="O80" s="64" t="n">
        <f aca="false">'Planning Inputs'!$D$55</f>
        <v>8000</v>
      </c>
    </row>
    <row r="81" customFormat="false" ht="15" hidden="false" customHeight="false" outlineLevel="0" collapsed="false">
      <c r="B81" s="57" t="s">
        <v>545</v>
      </c>
      <c r="D81" s="61" t="n">
        <f aca="false">D45*($C$69+$C$70)+D46*($D$69+$D$70)+D47*($E$69+$E$70)</f>
        <v>2371.815912816</v>
      </c>
      <c r="E81" s="61" t="n">
        <f aca="false">E45*($C$69+$C$70)+E46*($D$69+$D$70)+E47*($E$69+$E$70)</f>
        <v>4953.77350434651</v>
      </c>
      <c r="F81" s="61" t="n">
        <f aca="false">F45*($C$69+$C$70)+F46*($D$69+$D$70)+F47*($E$69+$E$70)</f>
        <v>7762.59256455877</v>
      </c>
      <c r="G81" s="61" t="n">
        <f aca="false">G45*($C$69+$C$70)+G46*($D$69+$D$70)+G47*($E$69+$E$70)</f>
        <v>10816.2810162431</v>
      </c>
      <c r="H81" s="61" t="n">
        <f aca="false">H45*($C$69+$C$70)+H46*($D$69+$D$70)+H47*($E$69+$E$70)</f>
        <v>14134.2420045922</v>
      </c>
      <c r="I81" s="61" t="n">
        <f aca="false">I45*($C$69+$C$70)+I46*($D$69+$D$70)+I47*($E$69+$E$70)</f>
        <v>17737.3893113276</v>
      </c>
      <c r="J81" s="61" t="n">
        <f aca="false">J45*($C$69+$C$70)+J46*($D$69+$D$70)+J47*($E$69+$E$70)</f>
        <v>21648.2717724965</v>
      </c>
      <c r="K81" s="61" t="n">
        <f aca="false">K45*($C$69+$C$70)+K46*($D$69+$D$70)+K47*($E$69+$E$70)</f>
        <v>25891.2074327057</v>
      </c>
      <c r="L81" s="61" t="n">
        <f aca="false">L45*($C$69+$C$70)+L46*($D$69+$D$70)+L47*($E$69+$E$70)</f>
        <v>30492.4282265351</v>
      </c>
      <c r="M81" s="61" t="n">
        <f aca="false">M45*($C$69+$C$70)+M46*($D$69+$D$70)+M47*($E$69+$E$70)</f>
        <v>35480.236040513</v>
      </c>
      <c r="N81" s="61" t="n">
        <f aca="false">N45*($C$69+$C$70)+N46*($D$69+$D$70)+N47*($E$69+$E$70)</f>
        <v>40885.171076726</v>
      </c>
      <c r="O81" s="61" t="n">
        <f aca="false">O45*($C$69+$C$70)+O46*($D$69+$D$70)+O47*($E$69+$E$70)</f>
        <v>46740.1935122642</v>
      </c>
    </row>
    <row r="82" customFormat="false" ht="15" hidden="false" customHeight="false" outlineLevel="0" collapsed="false">
      <c r="B82" s="57" t="s">
        <v>546</v>
      </c>
      <c r="D82" s="61" t="n">
        <f aca="false">D55-D79-D80-D81</f>
        <v>-163400.643416816</v>
      </c>
      <c r="E82" s="61" t="n">
        <f aca="false">E55-E79-E80-E81</f>
        <v>-166010.954941059</v>
      </c>
      <c r="F82" s="61" t="n">
        <f aca="false">F55-F79-F80-F81</f>
        <v>-168942.879066482</v>
      </c>
      <c r="G82" s="61" t="n">
        <f aca="false">G55-G79-G80-G81</f>
        <v>-172220.80369112</v>
      </c>
      <c r="H82" s="61" t="n">
        <f aca="false">H55-H79-H80-H81</f>
        <v>-175871.063457965</v>
      </c>
      <c r="I82" s="61" t="n">
        <f aca="false">I55-I79-I80-I81</f>
        <v>-179922.097239672</v>
      </c>
      <c r="J82" s="61" t="n">
        <f aca="false">J55-J79-J80-J81</f>
        <v>-184404.618098278</v>
      </c>
      <c r="K82" s="61" t="n">
        <f aca="false">K55-K79-K80-K81</f>
        <v>-189351.796725032</v>
      </c>
      <c r="L82" s="61" t="n">
        <f aca="false">L55-L79-L80-L81</f>
        <v>-194799.459445462</v>
      </c>
      <c r="M82" s="61" t="n">
        <f aca="false">M55-M79-M80-M81</f>
        <v>-200786.301961235</v>
      </c>
      <c r="N82" s="61" t="n">
        <f aca="false">N55-N79-N80-N81</f>
        <v>-207354.12009379</v>
      </c>
      <c r="O82" s="61" t="n">
        <f aca="false">O55-O79-O80-O81</f>
        <v>-214548.058895557</v>
      </c>
    </row>
    <row r="83" customFormat="false" ht="15" hidden="false" customHeight="false" outlineLevel="0" collapsed="false">
      <c r="B83" s="57" t="s">
        <v>547</v>
      </c>
      <c r="D83" s="61" t="n">
        <f aca="false">D82</f>
        <v>-163400.643416816</v>
      </c>
      <c r="E83" s="61" t="n">
        <f aca="false">D83+E82</f>
        <v>-329411.598357875</v>
      </c>
      <c r="F83" s="61" t="n">
        <f aca="false">E83+F82</f>
        <v>-498354.477424357</v>
      </c>
      <c r="G83" s="61" t="n">
        <f aca="false">F83+G82</f>
        <v>-670575.281115477</v>
      </c>
      <c r="H83" s="61" t="n">
        <f aca="false">G83+H82</f>
        <v>-846446.344573441</v>
      </c>
      <c r="I83" s="61" t="n">
        <f aca="false">H83+I82</f>
        <v>-1026368.44181311</v>
      </c>
      <c r="J83" s="61" t="n">
        <f aca="false">I83+J82</f>
        <v>-1210773.05991139</v>
      </c>
      <c r="K83" s="61" t="n">
        <f aca="false">J83+K82</f>
        <v>-1400124.85663642</v>
      </c>
      <c r="L83" s="61" t="n">
        <f aca="false">K83+L82</f>
        <v>-1594924.31608188</v>
      </c>
      <c r="M83" s="61" t="n">
        <f aca="false">L83+M82</f>
        <v>-1795710.61804312</v>
      </c>
      <c r="N83" s="61" t="n">
        <f aca="false">M83+N82</f>
        <v>-2003064.73813691</v>
      </c>
      <c r="O83" s="61" t="n">
        <f aca="false">N83+O82</f>
        <v>-2217612.79703247</v>
      </c>
    </row>
    <row r="85" customFormat="false" ht="15" hidden="false" customHeight="false" outlineLevel="0" collapsed="false">
      <c r="B85" s="65" t="s">
        <v>548</v>
      </c>
    </row>
    <row r="86" customFormat="false" ht="15" hidden="false" customHeight="false" outlineLevel="0" collapsed="false">
      <c r="B86" s="57" t="s">
        <v>549</v>
      </c>
      <c r="C86" s="60" t="n">
        <f aca="false">O48</f>
        <v>51.7381811268299</v>
      </c>
    </row>
    <row r="87" customFormat="false" ht="15" hidden="false" customHeight="false" outlineLevel="0" collapsed="false">
      <c r="B87" s="57" t="s">
        <v>550</v>
      </c>
      <c r="C87" s="61" t="n">
        <f aca="false">O53</f>
        <v>4227291.07618344</v>
      </c>
    </row>
    <row r="88" customFormat="false" ht="15" hidden="false" customHeight="false" outlineLevel="0" collapsed="false">
      <c r="B88" s="57" t="s">
        <v>551</v>
      </c>
      <c r="C88" s="59" t="n">
        <f aca="false">PRODUCT(E77:O77)^(12/11)</f>
        <v>0.982065963580123</v>
      </c>
    </row>
    <row r="89" customFormat="false" ht="15" hidden="false" customHeight="false" outlineLevel="0" collapsed="false">
      <c r="B89" s="57" t="s">
        <v>552</v>
      </c>
      <c r="C89" s="61" t="n">
        <f aca="false">SUM(D79:O79)/SUM(D78:O78)</f>
        <v>54811.8</v>
      </c>
    </row>
    <row r="90" customFormat="false" ht="15" hidden="false" customHeight="false" outlineLevel="0" collapsed="false">
      <c r="B90" s="57" t="s">
        <v>553</v>
      </c>
      <c r="C90" s="59" t="n">
        <f aca="false">'Planning Inputs'!$D$23</f>
        <v>0.100548</v>
      </c>
    </row>
    <row r="91" customFormat="false" ht="15" hidden="false" customHeight="false" outlineLevel="0" collapsed="false">
      <c r="B91" s="57" t="s">
        <v>554</v>
      </c>
      <c r="C91" s="66" t="n">
        <f aca="false">IF(MAX(D48:O48)&gt;=50,COUNTIF(D48:O48,"&lt;50")+1,"after M12")</f>
        <v>12</v>
      </c>
    </row>
    <row r="92" customFormat="false" ht="15" hidden="false" customHeight="false" outlineLevel="0" collapsed="false">
      <c r="B92" s="57" t="s">
        <v>555</v>
      </c>
      <c r="C92" s="67" t="n">
        <f aca="false">IF(ISNUMBER(C91),EDATE('Planning Inputs'!$D$9,C91-1),"after "&amp;TEXT(EDATE('Planning Inputs'!$D$9,11),"mmm yyyy"))</f>
        <v>46631</v>
      </c>
    </row>
    <row r="93" customFormat="false" ht="15" hidden="false" customHeight="false" outlineLevel="0" collapsed="false">
      <c r="B93" s="57" t="s">
        <v>556</v>
      </c>
      <c r="C93" s="66" t="str">
        <f aca="false">IF(MAX(D82:O82)&gt;=0,COUNTIF(D82:O82,"&lt;0")+1,"after M12")</f>
        <v>after M12</v>
      </c>
      <c r="D93" s="68" t="s">
        <v>557</v>
      </c>
    </row>
    <row r="95" customFormat="false" ht="15" hidden="false" customHeight="false" outlineLevel="0" collapsed="false">
      <c r="B95" s="55" t="s">
        <v>558</v>
      </c>
    </row>
    <row r="96" customFormat="false" ht="15" hidden="false" customHeight="false" outlineLevel="0" collapsed="false">
      <c r="B96" s="56" t="s">
        <v>559</v>
      </c>
      <c r="C96" s="56" t="s">
        <v>560</v>
      </c>
      <c r="D96" s="56" t="s">
        <v>561</v>
      </c>
      <c r="E96" s="56" t="s">
        <v>562</v>
      </c>
    </row>
    <row r="97" customFormat="false" ht="15" hidden="false" customHeight="false" outlineLevel="0" collapsed="false">
      <c r="B97" s="57" t="s">
        <v>563</v>
      </c>
      <c r="D97" s="61" t="n">
        <f aca="false">'Planning Inputs'!$D$34*C8+'Planning Inputs'!$D$35*D8+'Planning Inputs'!$D$36*E8</f>
        <v>74388</v>
      </c>
      <c r="E97" s="68" t="s">
        <v>564</v>
      </c>
    </row>
    <row r="98" customFormat="false" ht="15" hidden="false" customHeight="false" outlineLevel="0" collapsed="false">
      <c r="B98" s="57" t="s">
        <v>565</v>
      </c>
      <c r="C98" s="69" t="n">
        <f aca="false">'Planning Inputs'!$D$59+'Planning Inputs'!$D$60</f>
        <v>41654</v>
      </c>
      <c r="D98" s="70" t="n">
        <f aca="false">C98*$D$97/10^7</f>
        <v>309.8557752</v>
      </c>
      <c r="E98" s="68" t="s">
        <v>566</v>
      </c>
    </row>
    <row r="99" customFormat="false" ht="15" hidden="false" customHeight="false" outlineLevel="0" collapsed="false">
      <c r="B99" s="57" t="s">
        <v>567</v>
      </c>
      <c r="C99" s="69" t="n">
        <f aca="false">C98*'Planning Inputs'!$D$61</f>
        <v>12496.2</v>
      </c>
      <c r="D99" s="70" t="n">
        <f aca="false">C99*$D$97/10^7</f>
        <v>92.95673256</v>
      </c>
      <c r="E99" s="68" t="s">
        <v>568</v>
      </c>
    </row>
    <row r="100" customFormat="false" ht="15" hidden="false" customHeight="false" outlineLevel="0" collapsed="false">
      <c r="B100" s="57" t="s">
        <v>569</v>
      </c>
      <c r="C100" s="69" t="n">
        <f aca="false">C99*'Planning Inputs'!$D$62</f>
        <v>249.924</v>
      </c>
      <c r="D100" s="70" t="n">
        <f aca="false">C100*$D$97/10^7</f>
        <v>1.8591346512</v>
      </c>
      <c r="E100" s="68" t="s">
        <v>570</v>
      </c>
    </row>
  </sheetData>
  <mergeCells count="14">
    <mergeCell ref="B3:O3"/>
    <mergeCell ref="B5:O5"/>
    <mergeCell ref="B14:O14"/>
    <mergeCell ref="B16:O16"/>
    <mergeCell ref="F17:O17"/>
    <mergeCell ref="B31:O31"/>
    <mergeCell ref="B32:O32"/>
    <mergeCell ref="B34:O34"/>
    <mergeCell ref="D40:O40"/>
    <mergeCell ref="D41:O41"/>
    <mergeCell ref="D42:O42"/>
    <mergeCell ref="D43:O43"/>
    <mergeCell ref="B44:O44"/>
    <mergeCell ref="B58:O58"/>
  </mergeCells>
  <conditionalFormatting sqref="C11:E11">
    <cfRule type="cellIs" priority="2" operator="lessThan" aboveAverage="0" equalAverage="0" bottom="0" percent="0" rank="0" text="" dxfId="0">
      <formula>0</formula>
    </cfRule>
  </conditionalFormatting>
  <dataValidations count="2">
    <dataValidation allowBlank="true" error="Enter a share between 0% and 100%" errorStyle="stop" operator="between" showDropDown="false" showErrorMessage="true" showInputMessage="false" sqref="C41:C43" type="decimal">
      <formula1>0</formula1>
      <formula2>1</formula2>
    </dataValidation>
    <dataValidation allowBlank="true" error="Enter a non-negative number" errorStyle="stop" operator="greaterThanOrEqual" showDropDown="false" showErrorMessage="true" showInputMessage="false" sqref="D35:O39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2:N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40"/>
    <col collapsed="false" customWidth="true" hidden="false" outlineLevel="0" max="7" min="6" style="1" width="10"/>
    <col collapsed="false" customWidth="true" hidden="false" outlineLevel="0" max="8" min="8" style="1" width="40"/>
    <col collapsed="false" customWidth="true" hidden="false" outlineLevel="0" max="9" min="9" style="1" width="38"/>
    <col collapsed="false" customWidth="true" hidden="false" outlineLevel="0" max="10" min="10" style="1" width="40"/>
    <col collapsed="false" customWidth="true" hidden="false" outlineLevel="0" max="11" min="11" style="1" width="46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34"/>
  </cols>
  <sheetData>
    <row r="2" customFormat="false" ht="27.75" hidden="false" customHeight="true" outlineLevel="0" collapsed="false">
      <c r="B2" s="2" t="s">
        <v>571</v>
      </c>
    </row>
    <row r="3" customFormat="false" ht="42" hidden="false" customHeight="true" outlineLevel="0" collapsed="false">
      <c r="B3" s="3" t="s">
        <v>572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" hidden="false" customHeight="true" outlineLevel="0" collapsed="false">
      <c r="B5" s="7" t="s">
        <v>573</v>
      </c>
      <c r="C5" s="7"/>
      <c r="D5" s="7"/>
      <c r="E5" s="7" t="s">
        <v>574</v>
      </c>
      <c r="F5" s="12" t="n">
        <f aca="false">Pricing!D16</f>
        <v>83</v>
      </c>
      <c r="G5" s="12"/>
    </row>
    <row r="7" customFormat="false" ht="43.5" hidden="false" customHeight="true" outlineLevel="0" collapsed="false">
      <c r="B7" s="5" t="s">
        <v>575</v>
      </c>
      <c r="C7" s="5" t="s">
        <v>576</v>
      </c>
      <c r="D7" s="5" t="s">
        <v>9</v>
      </c>
      <c r="E7" s="5" t="s">
        <v>577</v>
      </c>
      <c r="F7" s="5" t="s">
        <v>578</v>
      </c>
      <c r="G7" s="5" t="s">
        <v>579</v>
      </c>
      <c r="H7" s="5" t="s">
        <v>580</v>
      </c>
      <c r="I7" s="5" t="s">
        <v>581</v>
      </c>
      <c r="J7" s="5" t="s">
        <v>582</v>
      </c>
      <c r="K7" s="5" t="s">
        <v>583</v>
      </c>
      <c r="L7" s="5" t="s">
        <v>109</v>
      </c>
      <c r="M7" s="5" t="s">
        <v>584</v>
      </c>
      <c r="N7" s="5" t="s">
        <v>585</v>
      </c>
    </row>
    <row r="8" customFormat="false" ht="55.5" hidden="false" customHeight="true" outlineLevel="0" collapsed="false">
      <c r="B8" s="7" t="s">
        <v>586</v>
      </c>
      <c r="C8" s="11" t="s">
        <v>587</v>
      </c>
      <c r="D8" s="11" t="s">
        <v>588</v>
      </c>
      <c r="E8" s="11" t="s">
        <v>589</v>
      </c>
      <c r="F8" s="42" t="n">
        <v>215</v>
      </c>
      <c r="G8" s="71" t="n">
        <f aca="false">F8/$F$5</f>
        <v>2.59036144578313</v>
      </c>
      <c r="H8" s="11" t="s">
        <v>590</v>
      </c>
      <c r="I8" s="11" t="s">
        <v>591</v>
      </c>
      <c r="J8" s="11" t="s">
        <v>592</v>
      </c>
      <c r="K8" s="11" t="s">
        <v>593</v>
      </c>
      <c r="L8" s="27" t="s">
        <v>323</v>
      </c>
      <c r="M8" s="27" t="s">
        <v>594</v>
      </c>
      <c r="N8" s="11" t="s">
        <v>595</v>
      </c>
    </row>
    <row r="9" customFormat="false" ht="55.5" hidden="false" customHeight="true" outlineLevel="0" collapsed="false">
      <c r="B9" s="7" t="s">
        <v>596</v>
      </c>
      <c r="C9" s="11" t="s">
        <v>587</v>
      </c>
      <c r="D9" s="11" t="s">
        <v>597</v>
      </c>
      <c r="E9" s="11" t="s">
        <v>598</v>
      </c>
      <c r="F9" s="42" t="n">
        <v>100</v>
      </c>
      <c r="G9" s="71" t="n">
        <f aca="false">F9/$F$5</f>
        <v>1.20481927710843</v>
      </c>
      <c r="H9" s="11" t="s">
        <v>599</v>
      </c>
      <c r="I9" s="11" t="s">
        <v>600</v>
      </c>
      <c r="J9" s="11" t="s">
        <v>592</v>
      </c>
      <c r="K9" s="11" t="s">
        <v>593</v>
      </c>
      <c r="L9" s="27" t="s">
        <v>323</v>
      </c>
      <c r="M9" s="27" t="s">
        <v>594</v>
      </c>
      <c r="N9" s="11" t="s">
        <v>601</v>
      </c>
    </row>
    <row r="10" customFormat="false" ht="55.5" hidden="false" customHeight="true" outlineLevel="0" collapsed="false">
      <c r="B10" s="7" t="s">
        <v>602</v>
      </c>
      <c r="C10" s="11" t="s">
        <v>587</v>
      </c>
      <c r="D10" s="11" t="s">
        <v>603</v>
      </c>
      <c r="E10" s="11" t="s">
        <v>604</v>
      </c>
      <c r="F10" s="11"/>
      <c r="G10" s="11"/>
      <c r="H10" s="11" t="s">
        <v>605</v>
      </c>
      <c r="I10" s="11" t="s">
        <v>606</v>
      </c>
      <c r="J10" s="11" t="s">
        <v>607</v>
      </c>
      <c r="K10" s="11" t="s">
        <v>593</v>
      </c>
      <c r="L10" s="27" t="s">
        <v>138</v>
      </c>
      <c r="M10" s="27" t="s">
        <v>594</v>
      </c>
      <c r="N10" s="11" t="s">
        <v>608</v>
      </c>
    </row>
    <row r="11" customFormat="false" ht="55.5" hidden="false" customHeight="true" outlineLevel="0" collapsed="false">
      <c r="B11" s="7" t="s">
        <v>609</v>
      </c>
      <c r="C11" s="11" t="s">
        <v>587</v>
      </c>
      <c r="D11" s="11" t="s">
        <v>610</v>
      </c>
      <c r="E11" s="11" t="s">
        <v>611</v>
      </c>
      <c r="F11" s="27" t="s">
        <v>612</v>
      </c>
      <c r="G11" s="11"/>
      <c r="H11" s="11" t="s">
        <v>613</v>
      </c>
      <c r="I11" s="11" t="s">
        <v>614</v>
      </c>
      <c r="J11" s="11" t="s">
        <v>592</v>
      </c>
      <c r="K11" s="11" t="s">
        <v>593</v>
      </c>
      <c r="L11" s="27" t="s">
        <v>323</v>
      </c>
      <c r="M11" s="27" t="s">
        <v>594</v>
      </c>
      <c r="N11" s="11" t="s">
        <v>615</v>
      </c>
    </row>
    <row r="12" customFormat="false" ht="55.5" hidden="false" customHeight="true" outlineLevel="0" collapsed="false">
      <c r="B12" s="7" t="s">
        <v>616</v>
      </c>
      <c r="C12" s="11" t="s">
        <v>587</v>
      </c>
      <c r="D12" s="11" t="s">
        <v>617</v>
      </c>
      <c r="E12" s="11" t="s">
        <v>618</v>
      </c>
      <c r="F12" s="11"/>
      <c r="G12" s="11"/>
      <c r="H12" s="11" t="s">
        <v>619</v>
      </c>
      <c r="I12" s="11" t="s">
        <v>606</v>
      </c>
      <c r="J12" s="11" t="s">
        <v>592</v>
      </c>
      <c r="K12" s="11" t="s">
        <v>593</v>
      </c>
      <c r="L12" s="27" t="s">
        <v>323</v>
      </c>
      <c r="M12" s="27" t="s">
        <v>594</v>
      </c>
      <c r="N12" s="11" t="s">
        <v>620</v>
      </c>
    </row>
    <row r="13" customFormat="false" ht="29.25" hidden="false" customHeight="true" outlineLevel="0" collapsed="false">
      <c r="B13" s="7" t="s">
        <v>621</v>
      </c>
      <c r="C13" s="11" t="s">
        <v>587</v>
      </c>
      <c r="D13" s="11" t="s">
        <v>622</v>
      </c>
      <c r="E13" s="24" t="s">
        <v>623</v>
      </c>
      <c r="F13" s="72" t="n">
        <v>129</v>
      </c>
      <c r="G13" s="73" t="n">
        <f aca="false">F13/$F$5</f>
        <v>1.55421686746988</v>
      </c>
      <c r="H13" s="11" t="s">
        <v>624</v>
      </c>
      <c r="I13" s="24" t="s">
        <v>625</v>
      </c>
      <c r="J13" s="24" t="s">
        <v>626</v>
      </c>
      <c r="K13" s="24" t="s">
        <v>627</v>
      </c>
      <c r="L13" s="24" t="s">
        <v>138</v>
      </c>
      <c r="M13" s="24" t="s">
        <v>628</v>
      </c>
      <c r="N13" s="24" t="s">
        <v>629</v>
      </c>
    </row>
    <row r="14" customFormat="false" ht="69" hidden="false" customHeight="true" outlineLevel="0" collapsed="false">
      <c r="B14" s="7" t="s">
        <v>630</v>
      </c>
      <c r="C14" s="11" t="s">
        <v>631</v>
      </c>
      <c r="D14" s="11" t="s">
        <v>632</v>
      </c>
      <c r="E14" s="11" t="s">
        <v>633</v>
      </c>
      <c r="F14" s="42" t="n">
        <v>299</v>
      </c>
      <c r="G14" s="71" t="n">
        <f aca="false">F14/$F$5</f>
        <v>3.60240963855422</v>
      </c>
      <c r="H14" s="11" t="s">
        <v>634</v>
      </c>
      <c r="I14" s="11" t="s">
        <v>635</v>
      </c>
      <c r="J14" s="11" t="s">
        <v>636</v>
      </c>
      <c r="K14" s="11" t="s">
        <v>637</v>
      </c>
      <c r="L14" s="27" t="s">
        <v>323</v>
      </c>
      <c r="M14" s="27" t="s">
        <v>594</v>
      </c>
      <c r="N14" s="11" t="s">
        <v>638</v>
      </c>
    </row>
    <row r="15" customFormat="false" ht="69" hidden="false" customHeight="true" outlineLevel="0" collapsed="false">
      <c r="B15" s="7" t="s">
        <v>639</v>
      </c>
      <c r="C15" s="11" t="s">
        <v>631</v>
      </c>
      <c r="D15" s="11" t="s">
        <v>640</v>
      </c>
      <c r="E15" s="11" t="s">
        <v>641</v>
      </c>
      <c r="F15" s="11"/>
      <c r="G15" s="11"/>
      <c r="H15" s="11" t="s">
        <v>642</v>
      </c>
      <c r="I15" s="11" t="s">
        <v>643</v>
      </c>
      <c r="J15" s="11" t="s">
        <v>592</v>
      </c>
      <c r="K15" s="11" t="s">
        <v>637</v>
      </c>
      <c r="L15" s="27" t="s">
        <v>323</v>
      </c>
      <c r="M15" s="27" t="s">
        <v>594</v>
      </c>
      <c r="N15" s="11" t="s">
        <v>644</v>
      </c>
    </row>
    <row r="16" customFormat="false" ht="69" hidden="false" customHeight="true" outlineLevel="0" collapsed="false">
      <c r="B16" s="7" t="s">
        <v>645</v>
      </c>
      <c r="C16" s="11" t="s">
        <v>631</v>
      </c>
      <c r="D16" s="11" t="s">
        <v>646</v>
      </c>
      <c r="E16" s="11" t="s">
        <v>647</v>
      </c>
      <c r="F16" s="42" t="n">
        <v>9</v>
      </c>
      <c r="G16" s="71" t="n">
        <f aca="false">F16/$F$5</f>
        <v>0.108433734939759</v>
      </c>
      <c r="H16" s="11" t="s">
        <v>648</v>
      </c>
      <c r="I16" s="11" t="s">
        <v>635</v>
      </c>
      <c r="J16" s="11" t="s">
        <v>649</v>
      </c>
      <c r="K16" s="11" t="s">
        <v>637</v>
      </c>
      <c r="L16" s="27" t="s">
        <v>323</v>
      </c>
      <c r="M16" s="27" t="s">
        <v>594</v>
      </c>
      <c r="N16" s="11" t="s">
        <v>650</v>
      </c>
    </row>
    <row r="17" customFormat="false" ht="69" hidden="false" customHeight="true" outlineLevel="0" collapsed="false">
      <c r="B17" s="7" t="s">
        <v>651</v>
      </c>
      <c r="C17" s="11" t="s">
        <v>631</v>
      </c>
      <c r="D17" s="11" t="s">
        <v>652</v>
      </c>
      <c r="E17" s="11" t="s">
        <v>618</v>
      </c>
      <c r="F17" s="11"/>
      <c r="G17" s="11"/>
      <c r="H17" s="11" t="s">
        <v>653</v>
      </c>
      <c r="I17" s="11" t="s">
        <v>654</v>
      </c>
      <c r="J17" s="11" t="s">
        <v>592</v>
      </c>
      <c r="K17" s="11" t="s">
        <v>637</v>
      </c>
      <c r="L17" s="27" t="s">
        <v>323</v>
      </c>
      <c r="M17" s="27" t="s">
        <v>594</v>
      </c>
      <c r="N17" s="11" t="s">
        <v>655</v>
      </c>
    </row>
    <row r="18" customFormat="false" ht="69" hidden="false" customHeight="true" outlineLevel="0" collapsed="false">
      <c r="B18" s="7" t="s">
        <v>656</v>
      </c>
      <c r="C18" s="11" t="s">
        <v>657</v>
      </c>
      <c r="D18" s="11" t="s">
        <v>658</v>
      </c>
      <c r="E18" s="11" t="s">
        <v>659</v>
      </c>
      <c r="F18" s="42" t="n">
        <v>2333</v>
      </c>
      <c r="G18" s="71" t="n">
        <f aca="false">F18/$F$5</f>
        <v>28.1084337349398</v>
      </c>
      <c r="H18" s="11" t="s">
        <v>660</v>
      </c>
      <c r="I18" s="11" t="s">
        <v>600</v>
      </c>
      <c r="J18" s="11" t="s">
        <v>592</v>
      </c>
      <c r="K18" s="11" t="s">
        <v>661</v>
      </c>
      <c r="L18" s="27" t="s">
        <v>323</v>
      </c>
      <c r="M18" s="27" t="s">
        <v>594</v>
      </c>
      <c r="N18" s="11" t="s">
        <v>662</v>
      </c>
    </row>
    <row r="19" customFormat="false" ht="15.75" hidden="false" customHeight="true" outlineLevel="0" collapsed="false">
      <c r="B19" s="7" t="s">
        <v>663</v>
      </c>
      <c r="C19" s="11" t="s">
        <v>657</v>
      </c>
      <c r="D19" s="24" t="s">
        <v>664</v>
      </c>
      <c r="E19" s="24" t="s">
        <v>665</v>
      </c>
      <c r="F19" s="11"/>
      <c r="G19" s="11"/>
      <c r="H19" s="11" t="s">
        <v>666</v>
      </c>
      <c r="I19" s="24" t="s">
        <v>667</v>
      </c>
      <c r="J19" s="24" t="s">
        <v>668</v>
      </c>
      <c r="K19" s="24" t="s">
        <v>669</v>
      </c>
      <c r="L19" s="24" t="s">
        <v>138</v>
      </c>
      <c r="M19" s="24" t="s">
        <v>628</v>
      </c>
      <c r="N19" s="11" t="s">
        <v>670</v>
      </c>
    </row>
    <row r="20" customFormat="false" ht="15.75" hidden="false" customHeight="true" outlineLevel="0" collapsed="false">
      <c r="B20" s="7" t="s">
        <v>671</v>
      </c>
      <c r="C20" s="11" t="s">
        <v>657</v>
      </c>
      <c r="D20" s="24" t="s">
        <v>672</v>
      </c>
      <c r="E20" s="24" t="s">
        <v>673</v>
      </c>
      <c r="F20" s="11"/>
      <c r="G20" s="11"/>
      <c r="H20" s="11" t="s">
        <v>674</v>
      </c>
      <c r="I20" s="24" t="s">
        <v>675</v>
      </c>
      <c r="J20" s="24" t="s">
        <v>676</v>
      </c>
      <c r="K20" s="24" t="s">
        <v>669</v>
      </c>
      <c r="L20" s="24" t="s">
        <v>138</v>
      </c>
      <c r="M20" s="24" t="s">
        <v>628</v>
      </c>
      <c r="N20" s="24" t="s">
        <v>677</v>
      </c>
    </row>
    <row r="21" customFormat="false" ht="69" hidden="false" customHeight="true" outlineLevel="0" collapsed="false">
      <c r="B21" s="7" t="s">
        <v>678</v>
      </c>
      <c r="C21" s="11" t="s">
        <v>657</v>
      </c>
      <c r="D21" s="11" t="s">
        <v>679</v>
      </c>
      <c r="E21" s="11" t="s">
        <v>680</v>
      </c>
      <c r="F21" s="11"/>
      <c r="G21" s="11"/>
      <c r="H21" s="11" t="s">
        <v>681</v>
      </c>
      <c r="I21" s="11" t="s">
        <v>600</v>
      </c>
      <c r="J21" s="11" t="s">
        <v>682</v>
      </c>
      <c r="K21" s="11" t="s">
        <v>661</v>
      </c>
      <c r="L21" s="27" t="s">
        <v>138</v>
      </c>
      <c r="M21" s="27" t="s">
        <v>594</v>
      </c>
      <c r="N21" s="11" t="s">
        <v>683</v>
      </c>
    </row>
    <row r="22" customFormat="false" ht="69" hidden="false" customHeight="true" outlineLevel="0" collapsed="false">
      <c r="B22" s="7" t="s">
        <v>684</v>
      </c>
      <c r="C22" s="11" t="s">
        <v>657</v>
      </c>
      <c r="D22" s="11" t="s">
        <v>685</v>
      </c>
      <c r="E22" s="11" t="s">
        <v>680</v>
      </c>
      <c r="F22" s="11"/>
      <c r="G22" s="11"/>
      <c r="H22" s="11" t="s">
        <v>686</v>
      </c>
      <c r="I22" s="11" t="s">
        <v>600</v>
      </c>
      <c r="J22" s="11" t="s">
        <v>202</v>
      </c>
      <c r="K22" s="11" t="s">
        <v>661</v>
      </c>
      <c r="L22" s="27" t="s">
        <v>138</v>
      </c>
      <c r="M22" s="27" t="s">
        <v>594</v>
      </c>
      <c r="N22" s="11" t="s">
        <v>687</v>
      </c>
    </row>
    <row r="23" customFormat="false" ht="29.25" hidden="false" customHeight="true" outlineLevel="0" collapsed="false">
      <c r="B23" s="7" t="s">
        <v>688</v>
      </c>
      <c r="C23" s="11" t="s">
        <v>657</v>
      </c>
      <c r="D23" s="11" t="s">
        <v>689</v>
      </c>
      <c r="E23" s="24" t="s">
        <v>690</v>
      </c>
      <c r="F23" s="72" t="n">
        <v>583</v>
      </c>
      <c r="G23" s="73" t="n">
        <f aca="false">F23/$F$5</f>
        <v>7.02409638554217</v>
      </c>
      <c r="H23" s="11" t="s">
        <v>691</v>
      </c>
      <c r="I23" s="24" t="s">
        <v>692</v>
      </c>
      <c r="J23" s="24" t="s">
        <v>693</v>
      </c>
      <c r="K23" s="24" t="s">
        <v>694</v>
      </c>
      <c r="L23" s="24" t="s">
        <v>138</v>
      </c>
      <c r="M23" s="24" t="s">
        <v>628</v>
      </c>
      <c r="N23" s="24" t="s">
        <v>695</v>
      </c>
    </row>
    <row r="24" customFormat="false" ht="29.25" hidden="false" customHeight="true" outlineLevel="0" collapsed="false">
      <c r="B24" s="7" t="s">
        <v>696</v>
      </c>
      <c r="C24" s="11" t="s">
        <v>697</v>
      </c>
      <c r="D24" s="11" t="s">
        <v>698</v>
      </c>
      <c r="E24" s="24" t="s">
        <v>699</v>
      </c>
      <c r="F24" s="11"/>
      <c r="G24" s="11"/>
      <c r="H24" s="11" t="s">
        <v>700</v>
      </c>
      <c r="I24" s="24" t="s">
        <v>701</v>
      </c>
      <c r="J24" s="24" t="s">
        <v>702</v>
      </c>
      <c r="K24" s="24" t="s">
        <v>703</v>
      </c>
      <c r="L24" s="24" t="s">
        <v>138</v>
      </c>
      <c r="M24" s="24" t="s">
        <v>628</v>
      </c>
      <c r="N24" s="24" t="s">
        <v>704</v>
      </c>
    </row>
    <row r="25" customFormat="false" ht="29.25" hidden="false" customHeight="true" outlineLevel="0" collapsed="false">
      <c r="B25" s="7" t="s">
        <v>705</v>
      </c>
      <c r="C25" s="11" t="s">
        <v>697</v>
      </c>
      <c r="D25" s="11" t="s">
        <v>698</v>
      </c>
      <c r="E25" s="24" t="s">
        <v>706</v>
      </c>
      <c r="F25" s="24" t="s">
        <v>612</v>
      </c>
      <c r="G25" s="11"/>
      <c r="H25" s="11" t="s">
        <v>700</v>
      </c>
      <c r="I25" s="24" t="s">
        <v>707</v>
      </c>
      <c r="J25" s="24" t="s">
        <v>708</v>
      </c>
      <c r="K25" s="24" t="s">
        <v>703</v>
      </c>
      <c r="L25" s="24" t="s">
        <v>323</v>
      </c>
      <c r="M25" s="24" t="s">
        <v>628</v>
      </c>
      <c r="N25" s="24" t="s">
        <v>709</v>
      </c>
    </row>
    <row r="26" customFormat="false" ht="29.25" hidden="false" customHeight="true" outlineLevel="0" collapsed="false">
      <c r="B26" s="7" t="s">
        <v>710</v>
      </c>
      <c r="C26" s="11" t="s">
        <v>697</v>
      </c>
      <c r="D26" s="11" t="s">
        <v>698</v>
      </c>
      <c r="E26" s="24" t="s">
        <v>711</v>
      </c>
      <c r="F26" s="11"/>
      <c r="G26" s="11"/>
      <c r="H26" s="11" t="s">
        <v>700</v>
      </c>
      <c r="I26" s="24" t="s">
        <v>712</v>
      </c>
      <c r="J26" s="24" t="s">
        <v>708</v>
      </c>
      <c r="K26" s="24" t="s">
        <v>703</v>
      </c>
      <c r="L26" s="24" t="s">
        <v>138</v>
      </c>
      <c r="M26" s="24" t="s">
        <v>628</v>
      </c>
      <c r="N26" s="24" t="s">
        <v>713</v>
      </c>
    </row>
    <row r="27" customFormat="false" ht="55.5" hidden="false" customHeight="true" outlineLevel="0" collapsed="false">
      <c r="B27" s="7" t="s">
        <v>714</v>
      </c>
      <c r="C27" s="11" t="s">
        <v>715</v>
      </c>
      <c r="D27" s="11" t="s">
        <v>716</v>
      </c>
      <c r="E27" s="11" t="s">
        <v>717</v>
      </c>
      <c r="F27" s="11"/>
      <c r="G27" s="11"/>
      <c r="H27" s="11" t="s">
        <v>718</v>
      </c>
      <c r="I27" s="11" t="s">
        <v>719</v>
      </c>
      <c r="J27" s="11" t="s">
        <v>720</v>
      </c>
      <c r="K27" s="11" t="s">
        <v>721</v>
      </c>
      <c r="L27" s="27" t="s">
        <v>323</v>
      </c>
      <c r="M27" s="27" t="s">
        <v>594</v>
      </c>
      <c r="N27" s="11" t="s">
        <v>722</v>
      </c>
    </row>
    <row r="28" customFormat="false" ht="81.75" hidden="false" customHeight="true" outlineLevel="0" collapsed="false">
      <c r="B28" s="7" t="s">
        <v>723</v>
      </c>
      <c r="C28" s="11" t="s">
        <v>724</v>
      </c>
      <c r="D28" s="11" t="s">
        <v>725</v>
      </c>
      <c r="E28" s="11" t="s">
        <v>726</v>
      </c>
      <c r="F28" s="42" t="n">
        <v>89</v>
      </c>
      <c r="G28" s="71" t="n">
        <f aca="false">F28/$F$5</f>
        <v>1.07228915662651</v>
      </c>
      <c r="H28" s="11" t="s">
        <v>727</v>
      </c>
      <c r="I28" s="11" t="s">
        <v>728</v>
      </c>
      <c r="J28" s="11" t="s">
        <v>202</v>
      </c>
      <c r="K28" s="11" t="s">
        <v>729</v>
      </c>
      <c r="L28" s="27" t="s">
        <v>323</v>
      </c>
      <c r="M28" s="27" t="s">
        <v>594</v>
      </c>
      <c r="N28" s="11" t="s">
        <v>730</v>
      </c>
    </row>
    <row r="29" customFormat="false" ht="42" hidden="false" customHeight="true" outlineLevel="0" collapsed="false">
      <c r="B29" s="7" t="s">
        <v>731</v>
      </c>
      <c r="C29" s="11" t="s">
        <v>732</v>
      </c>
      <c r="D29" s="11" t="s">
        <v>733</v>
      </c>
      <c r="E29" s="11" t="s">
        <v>734</v>
      </c>
      <c r="F29" s="42" t="n">
        <v>25</v>
      </c>
      <c r="G29" s="71" t="n">
        <f aca="false">F29/$F$5</f>
        <v>0.301204819277108</v>
      </c>
      <c r="H29" s="11" t="s">
        <v>735</v>
      </c>
      <c r="I29" s="11" t="s">
        <v>600</v>
      </c>
      <c r="J29" s="11" t="s">
        <v>202</v>
      </c>
      <c r="K29" s="11" t="s">
        <v>736</v>
      </c>
      <c r="L29" s="27" t="s">
        <v>323</v>
      </c>
      <c r="M29" s="27" t="s">
        <v>594</v>
      </c>
      <c r="N29" s="11" t="s">
        <v>737</v>
      </c>
    </row>
    <row r="30" customFormat="false" ht="29.25" hidden="false" customHeight="true" outlineLevel="0" collapsed="false">
      <c r="B30" s="7" t="s">
        <v>738</v>
      </c>
      <c r="C30" s="11" t="s">
        <v>739</v>
      </c>
      <c r="D30" s="11" t="s">
        <v>740</v>
      </c>
      <c r="E30" s="11" t="s">
        <v>612</v>
      </c>
      <c r="F30" s="27" t="s">
        <v>612</v>
      </c>
      <c r="G30" s="11"/>
      <c r="H30" s="11" t="s">
        <v>741</v>
      </c>
      <c r="I30" s="11" t="s">
        <v>742</v>
      </c>
      <c r="J30" s="11" t="s">
        <v>202</v>
      </c>
      <c r="K30" s="11" t="s">
        <v>743</v>
      </c>
      <c r="L30" s="27" t="s">
        <v>323</v>
      </c>
      <c r="M30" s="27" t="s">
        <v>594</v>
      </c>
      <c r="N30" s="11" t="s">
        <v>744</v>
      </c>
    </row>
    <row r="31" customFormat="false" ht="29.25" hidden="false" customHeight="true" outlineLevel="0" collapsed="false">
      <c r="B31" s="7" t="s">
        <v>745</v>
      </c>
      <c r="C31" s="11" t="s">
        <v>739</v>
      </c>
      <c r="D31" s="11" t="s">
        <v>746</v>
      </c>
      <c r="E31" s="11" t="s">
        <v>612</v>
      </c>
      <c r="F31" s="27" t="s">
        <v>612</v>
      </c>
      <c r="G31" s="11"/>
      <c r="H31" s="11" t="s">
        <v>747</v>
      </c>
      <c r="I31" s="11" t="s">
        <v>748</v>
      </c>
      <c r="J31" s="11" t="s">
        <v>202</v>
      </c>
      <c r="K31" s="11" t="s">
        <v>743</v>
      </c>
      <c r="L31" s="27" t="s">
        <v>323</v>
      </c>
      <c r="M31" s="27" t="s">
        <v>594</v>
      </c>
      <c r="N31" s="11" t="s">
        <v>749</v>
      </c>
    </row>
    <row r="32" customFormat="false" ht="29.25" hidden="false" customHeight="true" outlineLevel="0" collapsed="false">
      <c r="B32" s="7" t="s">
        <v>750</v>
      </c>
      <c r="C32" s="11" t="s">
        <v>739</v>
      </c>
      <c r="D32" s="24" t="s">
        <v>751</v>
      </c>
      <c r="E32" s="24" t="s">
        <v>174</v>
      </c>
      <c r="F32" s="11"/>
      <c r="G32" s="11"/>
      <c r="H32" s="24" t="s">
        <v>752</v>
      </c>
      <c r="I32" s="24" t="s">
        <v>174</v>
      </c>
      <c r="J32" s="11" t="s">
        <v>753</v>
      </c>
      <c r="K32" s="24" t="s">
        <v>754</v>
      </c>
      <c r="L32" s="27" t="s">
        <v>755</v>
      </c>
      <c r="M32" s="27" t="s">
        <v>594</v>
      </c>
      <c r="N32" s="11" t="s">
        <v>756</v>
      </c>
    </row>
    <row r="34" customFormat="false" ht="24" hidden="false" customHeight="true" outlineLevel="0" collapsed="false">
      <c r="B34" s="4" t="s">
        <v>757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true" outlineLevel="0" collapsed="false">
      <c r="B35" s="7" t="s">
        <v>758</v>
      </c>
      <c r="C35" s="7"/>
      <c r="D35" s="7"/>
      <c r="E35" s="21" t="n">
        <f aca="false">COUNT(F8:F32)</f>
        <v>9</v>
      </c>
    </row>
    <row r="36" customFormat="false" ht="15" hidden="false" customHeight="true" outlineLevel="0" collapsed="false">
      <c r="B36" s="7" t="s">
        <v>759</v>
      </c>
      <c r="C36" s="7"/>
      <c r="D36" s="7"/>
      <c r="E36" s="37" t="n">
        <f aca="false">MIN(F8:F32)</f>
        <v>9</v>
      </c>
    </row>
    <row r="37" customFormat="false" ht="15" hidden="false" customHeight="true" outlineLevel="0" collapsed="false">
      <c r="B37" s="7" t="s">
        <v>760</v>
      </c>
      <c r="C37" s="7"/>
      <c r="D37" s="7"/>
      <c r="E37" s="37" t="n">
        <f aca="false">MEDIAN(F8:F32)</f>
        <v>129</v>
      </c>
    </row>
    <row r="38" customFormat="false" ht="15" hidden="false" customHeight="true" outlineLevel="0" collapsed="false">
      <c r="B38" s="7" t="s">
        <v>761</v>
      </c>
      <c r="C38" s="7"/>
      <c r="D38" s="7"/>
      <c r="E38" s="37" t="n">
        <f aca="false">MAX(F8:F32)</f>
        <v>2333</v>
      </c>
    </row>
    <row r="39" customFormat="false" ht="15" hidden="false" customHeight="true" outlineLevel="0" collapsed="false">
      <c r="B39" s="7" t="s">
        <v>762</v>
      </c>
      <c r="C39" s="7"/>
      <c r="D39" s="7"/>
      <c r="E39" s="21" t="n">
        <f aca="false">COUNTIF(F8:F32,"&lt;"&amp;Pricing!C16)</f>
        <v>2</v>
      </c>
    </row>
    <row r="40" customFormat="false" ht="15" hidden="false" customHeight="true" outlineLevel="0" collapsed="false">
      <c r="B40" s="7" t="s">
        <v>763</v>
      </c>
      <c r="C40" s="7"/>
      <c r="D40" s="7"/>
      <c r="E40" s="21" t="n">
        <f aca="false">COUNTIF(F8:F32,"&gt;"&amp;Pricing!E16)</f>
        <v>4</v>
      </c>
    </row>
    <row r="41" customFormat="false" ht="42" hidden="false" customHeight="true" outlineLevel="0" collapsed="false">
      <c r="B41" s="3" t="s">
        <v>764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autoFilter ref="B7:N32"/>
  <mergeCells count="11">
    <mergeCell ref="B3:N3"/>
    <mergeCell ref="B5:D5"/>
    <mergeCell ref="F5:G5"/>
    <mergeCell ref="B34:N34"/>
    <mergeCell ref="B35:D35"/>
    <mergeCell ref="B36:D36"/>
    <mergeCell ref="B37:D37"/>
    <mergeCell ref="B38:D38"/>
    <mergeCell ref="B39:D39"/>
    <mergeCell ref="B40:D40"/>
    <mergeCell ref="B41:N41"/>
  </mergeCells>
  <conditionalFormatting sqref="L8:L32">
    <cfRule type="cellIs" priority="2" operator="equal" aboveAverage="0" equalAverage="0" bottom="0" percent="0" rank="0" text="" dxfId="1">
      <formula>"High"</formula>
    </cfRule>
    <cfRule type="cellIs" priority="3" operator="equal" aboveAverage="0" equalAverage="0" bottom="0" percent="0" rank="0" text="" dxfId="5">
      <formula>"Medium"</formula>
    </cfRule>
    <cfRule type="cellIs" priority="4" operator="equal" aboveAverage="0" equalAverage="0" bottom="0" percent="0" rank="0" text="" dxfId="3">
      <formula>"Low"</formula>
    </cfRule>
    <cfRule type="cellIs" priority="5" operator="equal" aboveAverage="0" equalAverage="0" bottom="0" percent="0" rank="0" text="" dxfId="6">
      <formula>"Dead"</formula>
    </cfRule>
  </conditionalFormatting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8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8"/>
  </cols>
  <sheetData>
    <row r="2" customFormat="false" ht="22.05" hidden="false" customHeight="false" outlineLevel="0" collapsed="false">
      <c r="B2" s="74" t="s">
        <v>765</v>
      </c>
    </row>
    <row r="3" customFormat="false" ht="42" hidden="false" customHeight="true" outlineLevel="0" collapsed="false">
      <c r="B3" s="52" t="s">
        <v>766</v>
      </c>
      <c r="C3" s="52"/>
      <c r="D3" s="52"/>
      <c r="E3" s="52"/>
      <c r="F3" s="52"/>
      <c r="G3" s="52"/>
    </row>
    <row r="6" customFormat="false" ht="15" hidden="false" customHeight="false" outlineLevel="0" collapsed="false">
      <c r="B6" s="55" t="s">
        <v>767</v>
      </c>
    </row>
    <row r="7" customFormat="false" ht="15" hidden="false" customHeight="false" outlineLevel="0" collapsed="false">
      <c r="B7" s="75" t="s">
        <v>100</v>
      </c>
      <c r="C7" s="75" t="s">
        <v>311</v>
      </c>
      <c r="D7" s="75" t="s">
        <v>312</v>
      </c>
      <c r="E7" s="75" t="s">
        <v>768</v>
      </c>
      <c r="F7" s="75" t="s">
        <v>769</v>
      </c>
      <c r="G7" s="75" t="s">
        <v>69</v>
      </c>
    </row>
    <row r="8" customFormat="false" ht="158.2" hidden="false" customHeight="false" outlineLevel="0" collapsed="false">
      <c r="B8" s="57" t="s">
        <v>770</v>
      </c>
      <c r="C8" s="57" t="s">
        <v>771</v>
      </c>
      <c r="D8" s="76" t="s">
        <v>772</v>
      </c>
      <c r="E8" s="77" t="s">
        <v>773</v>
      </c>
      <c r="F8" s="77" t="s">
        <v>774</v>
      </c>
      <c r="G8" s="77" t="s">
        <v>73</v>
      </c>
    </row>
    <row r="9" customFormat="false" ht="15" hidden="false" customHeight="false" outlineLevel="0" collapsed="false">
      <c r="B9" s="57" t="s">
        <v>775</v>
      </c>
      <c r="C9" s="57" t="s">
        <v>776</v>
      </c>
      <c r="D9" s="78" t="n">
        <v>46296</v>
      </c>
      <c r="E9" s="77" t="s">
        <v>777</v>
      </c>
      <c r="F9" s="77" t="s">
        <v>778</v>
      </c>
      <c r="G9" s="77" t="s">
        <v>73</v>
      </c>
    </row>
    <row r="10" customFormat="false" ht="124.6" hidden="false" customHeight="false" outlineLevel="0" collapsed="false">
      <c r="B10" s="57" t="s">
        <v>779</v>
      </c>
      <c r="C10" s="57" t="s">
        <v>207</v>
      </c>
      <c r="D10" s="76" t="s">
        <v>780</v>
      </c>
      <c r="E10" s="77" t="s">
        <v>773</v>
      </c>
      <c r="F10" s="77" t="s">
        <v>781</v>
      </c>
      <c r="G10" s="77" t="s">
        <v>73</v>
      </c>
    </row>
    <row r="12" customFormat="false" ht="15" hidden="false" customHeight="false" outlineLevel="0" collapsed="false">
      <c r="B12" s="55" t="s">
        <v>782</v>
      </c>
    </row>
    <row r="13" customFormat="false" ht="15" hidden="false" customHeight="false" outlineLevel="0" collapsed="false">
      <c r="B13" s="75" t="s">
        <v>100</v>
      </c>
      <c r="C13" s="75" t="s">
        <v>311</v>
      </c>
      <c r="D13" s="75" t="s">
        <v>312</v>
      </c>
      <c r="E13" s="75" t="s">
        <v>768</v>
      </c>
      <c r="F13" s="75" t="s">
        <v>769</v>
      </c>
      <c r="G13" s="75" t="s">
        <v>69</v>
      </c>
    </row>
    <row r="14" customFormat="false" ht="23.85" hidden="false" customHeight="false" outlineLevel="0" collapsed="false">
      <c r="B14" s="57" t="s">
        <v>783</v>
      </c>
      <c r="C14" s="57" t="s">
        <v>784</v>
      </c>
      <c r="D14" s="79" t="n">
        <v>30</v>
      </c>
      <c r="E14" s="77" t="s">
        <v>785</v>
      </c>
      <c r="F14" s="77" t="s">
        <v>786</v>
      </c>
      <c r="G14" s="77" t="s">
        <v>73</v>
      </c>
    </row>
    <row r="15" customFormat="false" ht="15" hidden="false" customHeight="false" outlineLevel="0" collapsed="false">
      <c r="B15" s="57" t="s">
        <v>787</v>
      </c>
      <c r="C15" s="57" t="s">
        <v>788</v>
      </c>
      <c r="D15" s="80" t="n">
        <v>0.08</v>
      </c>
      <c r="E15" s="77" t="s">
        <v>789</v>
      </c>
      <c r="F15" s="77" t="s">
        <v>790</v>
      </c>
      <c r="G15" s="77" t="s">
        <v>73</v>
      </c>
    </row>
    <row r="16" customFormat="false" ht="23.85" hidden="false" customHeight="false" outlineLevel="0" collapsed="false">
      <c r="B16" s="57" t="s">
        <v>791</v>
      </c>
      <c r="C16" s="57" t="s">
        <v>792</v>
      </c>
      <c r="D16" s="81" t="n">
        <v>0.025</v>
      </c>
      <c r="E16" s="77" t="s">
        <v>793</v>
      </c>
      <c r="F16" s="77" t="s">
        <v>794</v>
      </c>
      <c r="G16" s="77" t="s">
        <v>795</v>
      </c>
    </row>
    <row r="17" customFormat="false" ht="15" hidden="false" customHeight="false" outlineLevel="0" collapsed="false">
      <c r="B17" s="57" t="s">
        <v>796</v>
      </c>
      <c r="C17" s="57" t="s">
        <v>797</v>
      </c>
      <c r="D17" s="81" t="n">
        <v>0.7</v>
      </c>
      <c r="E17" s="77" t="s">
        <v>793</v>
      </c>
      <c r="F17" s="77" t="s">
        <v>798</v>
      </c>
      <c r="G17" s="77" t="s">
        <v>73</v>
      </c>
    </row>
    <row r="18" customFormat="false" ht="15" hidden="false" customHeight="false" outlineLevel="0" collapsed="false">
      <c r="B18" s="57" t="s">
        <v>799</v>
      </c>
      <c r="C18" s="57" t="s">
        <v>800</v>
      </c>
      <c r="D18" s="81" t="n">
        <v>0.95</v>
      </c>
      <c r="E18" s="77" t="s">
        <v>793</v>
      </c>
      <c r="F18" s="77" t="s">
        <v>801</v>
      </c>
      <c r="G18" s="77" t="s">
        <v>73</v>
      </c>
    </row>
    <row r="19" customFormat="false" ht="15" hidden="false" customHeight="false" outlineLevel="0" collapsed="false">
      <c r="B19" s="57" t="s">
        <v>802</v>
      </c>
      <c r="C19" s="57" t="s">
        <v>803</v>
      </c>
      <c r="D19" s="81" t="n">
        <v>0.7</v>
      </c>
      <c r="E19" s="77" t="s">
        <v>793</v>
      </c>
      <c r="F19" s="77" t="s">
        <v>804</v>
      </c>
      <c r="G19" s="77" t="s">
        <v>73</v>
      </c>
    </row>
    <row r="20" customFormat="false" ht="15" hidden="false" customHeight="false" outlineLevel="0" collapsed="false">
      <c r="B20" s="57" t="s">
        <v>805</v>
      </c>
      <c r="C20" s="57" t="s">
        <v>806</v>
      </c>
      <c r="D20" s="81" t="n">
        <v>0.6</v>
      </c>
      <c r="E20" s="77" t="s">
        <v>793</v>
      </c>
      <c r="F20" s="77" t="s">
        <v>807</v>
      </c>
      <c r="G20" s="77" t="s">
        <v>73</v>
      </c>
    </row>
    <row r="21" customFormat="false" ht="15" hidden="false" customHeight="false" outlineLevel="0" collapsed="false">
      <c r="B21" s="57" t="s">
        <v>808</v>
      </c>
      <c r="C21" s="57" t="s">
        <v>809</v>
      </c>
      <c r="D21" s="81" t="n">
        <v>0.6</v>
      </c>
      <c r="E21" s="77" t="s">
        <v>793</v>
      </c>
      <c r="F21" s="77" t="s">
        <v>810</v>
      </c>
      <c r="G21" s="77" t="s">
        <v>73</v>
      </c>
    </row>
    <row r="22" customFormat="false" ht="15" hidden="false" customHeight="false" outlineLevel="0" collapsed="false">
      <c r="B22" s="57" t="s">
        <v>811</v>
      </c>
      <c r="C22" s="57" t="s">
        <v>812</v>
      </c>
      <c r="D22" s="81" t="n">
        <v>0.6</v>
      </c>
      <c r="E22" s="77" t="s">
        <v>793</v>
      </c>
      <c r="F22" s="77" t="s">
        <v>813</v>
      </c>
      <c r="G22" s="77" t="s">
        <v>73</v>
      </c>
    </row>
    <row r="23" customFormat="false" ht="23.85" hidden="false" customHeight="false" outlineLevel="0" collapsed="false">
      <c r="B23" s="57" t="s">
        <v>814</v>
      </c>
      <c r="C23" s="57" t="s">
        <v>815</v>
      </c>
      <c r="D23" s="82" t="n">
        <f aca="false">'Planning Inputs'!$D$17*'Planning Inputs'!$D$18*'Planning Inputs'!$D$19*'Planning Inputs'!$D$20*'Planning Inputs'!$D$21*'Planning Inputs'!$D$22</f>
        <v>0.100548</v>
      </c>
      <c r="E23" s="77" t="s">
        <v>793</v>
      </c>
      <c r="F23" s="77" t="s">
        <v>816</v>
      </c>
      <c r="G23" s="77" t="s">
        <v>72</v>
      </c>
    </row>
    <row r="25" customFormat="false" ht="15" hidden="false" customHeight="false" outlineLevel="0" collapsed="false">
      <c r="B25" s="55" t="s">
        <v>817</v>
      </c>
    </row>
    <row r="26" customFormat="false" ht="15" hidden="false" customHeight="false" outlineLevel="0" collapsed="false">
      <c r="B26" s="75" t="s">
        <v>100</v>
      </c>
      <c r="C26" s="75" t="s">
        <v>311</v>
      </c>
      <c r="D26" s="75" t="s">
        <v>312</v>
      </c>
      <c r="E26" s="75" t="s">
        <v>768</v>
      </c>
      <c r="F26" s="75" t="s">
        <v>769</v>
      </c>
      <c r="G26" s="75" t="s">
        <v>69</v>
      </c>
    </row>
    <row r="27" customFormat="false" ht="15" hidden="false" customHeight="false" outlineLevel="0" collapsed="false">
      <c r="B27" s="57" t="s">
        <v>818</v>
      </c>
      <c r="C27" s="57" t="s">
        <v>819</v>
      </c>
      <c r="D27" s="83" t="n">
        <v>14</v>
      </c>
      <c r="E27" s="77" t="s">
        <v>820</v>
      </c>
      <c r="F27" s="77" t="s">
        <v>821</v>
      </c>
      <c r="G27" s="77" t="s">
        <v>73</v>
      </c>
    </row>
    <row r="28" customFormat="false" ht="15" hidden="false" customHeight="false" outlineLevel="0" collapsed="false">
      <c r="B28" s="57" t="s">
        <v>822</v>
      </c>
      <c r="C28" s="57" t="s">
        <v>823</v>
      </c>
      <c r="D28" s="83" t="n">
        <v>25</v>
      </c>
      <c r="E28" s="77" t="s">
        <v>824</v>
      </c>
      <c r="F28" s="77" t="s">
        <v>825</v>
      </c>
      <c r="G28" s="77" t="s">
        <v>73</v>
      </c>
    </row>
    <row r="29" customFormat="false" ht="15" hidden="false" customHeight="false" outlineLevel="0" collapsed="false">
      <c r="B29" s="57" t="s">
        <v>826</v>
      </c>
      <c r="C29" s="57" t="s">
        <v>827</v>
      </c>
      <c r="D29" s="83" t="n">
        <v>2</v>
      </c>
      <c r="E29" s="77" t="s">
        <v>828</v>
      </c>
      <c r="F29" s="77" t="s">
        <v>829</v>
      </c>
      <c r="G29" s="77" t="s">
        <v>73</v>
      </c>
    </row>
    <row r="30" customFormat="false" ht="23.85" hidden="false" customHeight="false" outlineLevel="0" collapsed="false">
      <c r="B30" s="57" t="s">
        <v>830</v>
      </c>
      <c r="C30" s="57" t="s">
        <v>831</v>
      </c>
      <c r="D30" s="84" t="n">
        <f aca="false">'Planning Inputs'!$D$28*Pricing!$C$52+'Planning Inputs'!$D$29*Pricing!$C$61</f>
        <v>98.5020444444444</v>
      </c>
      <c r="E30" s="77" t="s">
        <v>832</v>
      </c>
      <c r="F30" s="77" t="s">
        <v>833</v>
      </c>
      <c r="G30" s="77" t="s">
        <v>72</v>
      </c>
    </row>
    <row r="32" customFormat="false" ht="15" hidden="false" customHeight="false" outlineLevel="0" collapsed="false">
      <c r="B32" s="55" t="s">
        <v>834</v>
      </c>
    </row>
    <row r="33" customFormat="false" ht="15" hidden="false" customHeight="false" outlineLevel="0" collapsed="false">
      <c r="B33" s="75" t="s">
        <v>100</v>
      </c>
      <c r="C33" s="75" t="s">
        <v>311</v>
      </c>
      <c r="D33" s="75" t="s">
        <v>312</v>
      </c>
      <c r="E33" s="75" t="s">
        <v>768</v>
      </c>
      <c r="F33" s="75" t="s">
        <v>769</v>
      </c>
      <c r="G33" s="75" t="s">
        <v>69</v>
      </c>
    </row>
    <row r="34" customFormat="false" ht="15" hidden="false" customHeight="false" outlineLevel="0" collapsed="false">
      <c r="B34" s="57" t="s">
        <v>835</v>
      </c>
      <c r="C34" s="57" t="s">
        <v>836</v>
      </c>
      <c r="D34" s="80" t="n">
        <v>0.6</v>
      </c>
      <c r="E34" s="77" t="s">
        <v>837</v>
      </c>
      <c r="F34" s="77" t="s">
        <v>838</v>
      </c>
      <c r="G34" s="77" t="s">
        <v>73</v>
      </c>
    </row>
    <row r="35" customFormat="false" ht="15" hidden="false" customHeight="false" outlineLevel="0" collapsed="false">
      <c r="B35" s="57" t="s">
        <v>839</v>
      </c>
      <c r="C35" s="57" t="s">
        <v>840</v>
      </c>
      <c r="D35" s="80" t="n">
        <v>0.3</v>
      </c>
      <c r="E35" s="77" t="s">
        <v>837</v>
      </c>
      <c r="F35" s="77" t="s">
        <v>841</v>
      </c>
      <c r="G35" s="77" t="s">
        <v>73</v>
      </c>
    </row>
    <row r="36" customFormat="false" ht="15" hidden="false" customHeight="false" outlineLevel="0" collapsed="false">
      <c r="B36" s="57" t="s">
        <v>842</v>
      </c>
      <c r="C36" s="57" t="s">
        <v>843</v>
      </c>
      <c r="D36" s="82" t="n">
        <f aca="false">1-'Planning Inputs'!$D$34-'Planning Inputs'!$D$35</f>
        <v>0.1</v>
      </c>
      <c r="E36" s="77" t="s">
        <v>837</v>
      </c>
      <c r="F36" s="77" t="s">
        <v>844</v>
      </c>
      <c r="G36" s="77" t="s">
        <v>72</v>
      </c>
    </row>
    <row r="37" customFormat="false" ht="23.85" hidden="false" customHeight="false" outlineLevel="0" collapsed="false">
      <c r="B37" s="57" t="s">
        <v>845</v>
      </c>
      <c r="C37" s="57" t="s">
        <v>846</v>
      </c>
      <c r="D37" s="80" t="n">
        <v>0.03</v>
      </c>
      <c r="E37" s="77" t="s">
        <v>789</v>
      </c>
      <c r="F37" s="77" t="s">
        <v>847</v>
      </c>
      <c r="G37" s="77" t="s">
        <v>795</v>
      </c>
    </row>
    <row r="38" customFormat="false" ht="15" hidden="false" customHeight="false" outlineLevel="0" collapsed="false">
      <c r="B38" s="57" t="s">
        <v>848</v>
      </c>
      <c r="C38" s="57" t="s">
        <v>849</v>
      </c>
      <c r="D38" s="80" t="n">
        <v>0.015</v>
      </c>
      <c r="E38" s="77" t="s">
        <v>789</v>
      </c>
      <c r="F38" s="77" t="s">
        <v>850</v>
      </c>
      <c r="G38" s="77" t="s">
        <v>795</v>
      </c>
    </row>
    <row r="39" customFormat="false" ht="15" hidden="false" customHeight="false" outlineLevel="0" collapsed="false">
      <c r="B39" s="57" t="s">
        <v>851</v>
      </c>
      <c r="C39" s="57" t="s">
        <v>852</v>
      </c>
      <c r="D39" s="80" t="n">
        <v>0.007</v>
      </c>
      <c r="E39" s="77" t="s">
        <v>789</v>
      </c>
      <c r="F39" s="77" t="s">
        <v>853</v>
      </c>
      <c r="G39" s="77" t="s">
        <v>795</v>
      </c>
    </row>
    <row r="40" customFormat="false" ht="23.85" hidden="false" customHeight="false" outlineLevel="0" collapsed="false">
      <c r="B40" s="57" t="s">
        <v>854</v>
      </c>
      <c r="C40" s="57" t="s">
        <v>855</v>
      </c>
      <c r="D40" s="81" t="n">
        <v>0.02</v>
      </c>
      <c r="E40" s="77" t="s">
        <v>856</v>
      </c>
      <c r="F40" s="77" t="s">
        <v>857</v>
      </c>
      <c r="G40" s="77" t="s">
        <v>73</v>
      </c>
    </row>
    <row r="41" customFormat="false" ht="23.85" hidden="false" customHeight="false" outlineLevel="0" collapsed="false">
      <c r="B41" s="57" t="s">
        <v>858</v>
      </c>
      <c r="C41" s="57" t="s">
        <v>859</v>
      </c>
      <c r="D41" s="81" t="n">
        <v>0.01</v>
      </c>
      <c r="E41" s="77" t="s">
        <v>860</v>
      </c>
      <c r="F41" s="77" t="s">
        <v>861</v>
      </c>
      <c r="G41" s="77" t="s">
        <v>73</v>
      </c>
    </row>
    <row r="43" customFormat="false" ht="15" hidden="false" customHeight="false" outlineLevel="0" collapsed="false">
      <c r="B43" s="55" t="s">
        <v>862</v>
      </c>
    </row>
    <row r="44" customFormat="false" ht="15" hidden="false" customHeight="false" outlineLevel="0" collapsed="false">
      <c r="B44" s="75" t="s">
        <v>100</v>
      </c>
      <c r="C44" s="75" t="s">
        <v>311</v>
      </c>
      <c r="D44" s="75" t="s">
        <v>312</v>
      </c>
      <c r="E44" s="75" t="s">
        <v>768</v>
      </c>
      <c r="F44" s="75" t="s">
        <v>769</v>
      </c>
      <c r="G44" s="75" t="s">
        <v>69</v>
      </c>
    </row>
    <row r="45" customFormat="false" ht="15" hidden="false" customHeight="false" outlineLevel="0" collapsed="false">
      <c r="B45" s="57" t="s">
        <v>863</v>
      </c>
      <c r="C45" s="57" t="s">
        <v>864</v>
      </c>
      <c r="D45" s="83" t="n">
        <v>12</v>
      </c>
      <c r="E45" s="77" t="s">
        <v>865</v>
      </c>
      <c r="F45" s="77" t="s">
        <v>866</v>
      </c>
      <c r="G45" s="77" t="s">
        <v>795</v>
      </c>
    </row>
    <row r="46" customFormat="false" ht="15" hidden="false" customHeight="false" outlineLevel="0" collapsed="false">
      <c r="B46" s="57" t="s">
        <v>867</v>
      </c>
      <c r="C46" s="57" t="s">
        <v>868</v>
      </c>
      <c r="D46" s="83" t="n">
        <v>18</v>
      </c>
      <c r="E46" s="77" t="s">
        <v>865</v>
      </c>
      <c r="F46" s="77" t="s">
        <v>869</v>
      </c>
      <c r="G46" s="77" t="s">
        <v>795</v>
      </c>
    </row>
    <row r="48" customFormat="false" ht="15" hidden="false" customHeight="false" outlineLevel="0" collapsed="false">
      <c r="B48" s="55" t="s">
        <v>870</v>
      </c>
    </row>
    <row r="49" customFormat="false" ht="15" hidden="false" customHeight="false" outlineLevel="0" collapsed="false">
      <c r="B49" s="75" t="s">
        <v>100</v>
      </c>
      <c r="C49" s="75" t="s">
        <v>311</v>
      </c>
      <c r="D49" s="75" t="s">
        <v>312</v>
      </c>
      <c r="E49" s="75" t="s">
        <v>768</v>
      </c>
      <c r="F49" s="75" t="s">
        <v>769</v>
      </c>
      <c r="G49" s="75" t="s">
        <v>69</v>
      </c>
    </row>
    <row r="50" customFormat="false" ht="23.85" hidden="false" customHeight="false" outlineLevel="0" collapsed="false">
      <c r="B50" s="57" t="s">
        <v>871</v>
      </c>
      <c r="C50" s="57" t="s">
        <v>872</v>
      </c>
      <c r="D50" s="81" t="n">
        <v>0.18</v>
      </c>
      <c r="E50" s="77" t="s">
        <v>873</v>
      </c>
      <c r="F50" s="77" t="s">
        <v>874</v>
      </c>
      <c r="G50" s="77" t="s">
        <v>875</v>
      </c>
    </row>
    <row r="51" customFormat="false" ht="23.85" hidden="false" customHeight="false" outlineLevel="0" collapsed="false">
      <c r="B51" s="57" t="s">
        <v>876</v>
      </c>
      <c r="C51" s="57" t="s">
        <v>877</v>
      </c>
      <c r="D51" s="81" t="n">
        <v>0.02</v>
      </c>
      <c r="E51" s="77" t="s">
        <v>878</v>
      </c>
      <c r="F51" s="77" t="s">
        <v>879</v>
      </c>
      <c r="G51" s="77" t="s">
        <v>875</v>
      </c>
    </row>
    <row r="52" customFormat="false" ht="15" hidden="false" customHeight="false" outlineLevel="0" collapsed="false">
      <c r="B52" s="57" t="s">
        <v>880</v>
      </c>
      <c r="C52" s="57" t="s">
        <v>881</v>
      </c>
      <c r="D52" s="85" t="n">
        <v>150</v>
      </c>
      <c r="E52" s="77" t="s">
        <v>882</v>
      </c>
      <c r="F52" s="77" t="s">
        <v>883</v>
      </c>
      <c r="G52" s="77" t="s">
        <v>73</v>
      </c>
    </row>
    <row r="53" customFormat="false" ht="15" hidden="false" customHeight="false" outlineLevel="0" collapsed="false">
      <c r="B53" s="57" t="s">
        <v>884</v>
      </c>
      <c r="C53" s="57" t="s">
        <v>885</v>
      </c>
      <c r="D53" s="85" t="n">
        <v>500</v>
      </c>
      <c r="E53" s="77" t="s">
        <v>882</v>
      </c>
      <c r="F53" s="77" t="s">
        <v>886</v>
      </c>
      <c r="G53" s="77" t="s">
        <v>73</v>
      </c>
    </row>
    <row r="54" customFormat="false" ht="15" hidden="false" customHeight="false" outlineLevel="0" collapsed="false">
      <c r="B54" s="57" t="s">
        <v>887</v>
      </c>
      <c r="C54" s="57" t="s">
        <v>888</v>
      </c>
      <c r="D54" s="85" t="n">
        <v>4000</v>
      </c>
      <c r="E54" s="77" t="s">
        <v>882</v>
      </c>
      <c r="F54" s="77" t="s">
        <v>889</v>
      </c>
      <c r="G54" s="77" t="s">
        <v>73</v>
      </c>
    </row>
    <row r="55" customFormat="false" ht="15" hidden="false" customHeight="false" outlineLevel="0" collapsed="false">
      <c r="B55" s="57" t="s">
        <v>890</v>
      </c>
      <c r="C55" s="57" t="s">
        <v>891</v>
      </c>
      <c r="D55" s="85" t="n">
        <v>8000</v>
      </c>
      <c r="E55" s="77" t="s">
        <v>892</v>
      </c>
      <c r="F55" s="77" t="s">
        <v>893</v>
      </c>
      <c r="G55" s="77" t="s">
        <v>73</v>
      </c>
    </row>
    <row r="57" customFormat="false" ht="15" hidden="false" customHeight="false" outlineLevel="0" collapsed="false">
      <c r="B57" s="55" t="s">
        <v>894</v>
      </c>
    </row>
    <row r="58" customFormat="false" ht="15" hidden="false" customHeight="false" outlineLevel="0" collapsed="false">
      <c r="B58" s="75" t="s">
        <v>100</v>
      </c>
      <c r="C58" s="75" t="s">
        <v>311</v>
      </c>
      <c r="D58" s="75" t="s">
        <v>312</v>
      </c>
      <c r="E58" s="75" t="s">
        <v>768</v>
      </c>
      <c r="F58" s="75" t="s">
        <v>769</v>
      </c>
      <c r="G58" s="75" t="s">
        <v>69</v>
      </c>
    </row>
    <row r="59" customFormat="false" ht="23.85" hidden="false" customHeight="false" outlineLevel="0" collapsed="false">
      <c r="B59" s="57" t="s">
        <v>895</v>
      </c>
      <c r="C59" s="57" t="s">
        <v>896</v>
      </c>
      <c r="D59" s="83" t="n">
        <v>14466</v>
      </c>
      <c r="E59" s="77" t="s">
        <v>897</v>
      </c>
      <c r="F59" s="77" t="s">
        <v>898</v>
      </c>
      <c r="G59" s="77" t="s">
        <v>899</v>
      </c>
    </row>
    <row r="60" customFormat="false" ht="15" hidden="false" customHeight="false" outlineLevel="0" collapsed="false">
      <c r="B60" s="57" t="s">
        <v>900</v>
      </c>
      <c r="C60" s="57" t="s">
        <v>901</v>
      </c>
      <c r="D60" s="83" t="n">
        <v>27188</v>
      </c>
      <c r="E60" s="77" t="s">
        <v>897</v>
      </c>
      <c r="F60" s="77" t="s">
        <v>902</v>
      </c>
      <c r="G60" s="77" t="s">
        <v>899</v>
      </c>
    </row>
    <row r="61" customFormat="false" ht="15" hidden="false" customHeight="false" outlineLevel="0" collapsed="false">
      <c r="B61" s="57" t="s">
        <v>903</v>
      </c>
      <c r="C61" s="57" t="s">
        <v>904</v>
      </c>
      <c r="D61" s="80" t="n">
        <v>0.3</v>
      </c>
      <c r="E61" s="77" t="s">
        <v>905</v>
      </c>
      <c r="F61" s="77" t="s">
        <v>906</v>
      </c>
      <c r="G61" s="77" t="s">
        <v>73</v>
      </c>
    </row>
    <row r="62" customFormat="false" ht="15" hidden="false" customHeight="false" outlineLevel="0" collapsed="false">
      <c r="B62" s="57" t="s">
        <v>907</v>
      </c>
      <c r="C62" s="57" t="s">
        <v>908</v>
      </c>
      <c r="D62" s="81" t="n">
        <v>0.02</v>
      </c>
      <c r="E62" s="77" t="s">
        <v>909</v>
      </c>
      <c r="F62" s="77" t="s">
        <v>910</v>
      </c>
      <c r="G62" s="77" t="s">
        <v>73</v>
      </c>
    </row>
    <row r="64" customFormat="false" ht="15" hidden="false" customHeight="false" outlineLevel="0" collapsed="false">
      <c r="B64" s="55" t="s">
        <v>911</v>
      </c>
    </row>
    <row r="65" customFormat="false" ht="15" hidden="false" customHeight="false" outlineLevel="0" collapsed="false">
      <c r="B65" s="75" t="s">
        <v>100</v>
      </c>
      <c r="C65" s="75" t="s">
        <v>311</v>
      </c>
      <c r="D65" s="75" t="s">
        <v>312</v>
      </c>
      <c r="E65" s="75" t="s">
        <v>768</v>
      </c>
      <c r="F65" s="75" t="s">
        <v>769</v>
      </c>
      <c r="G65" s="75" t="s">
        <v>69</v>
      </c>
    </row>
    <row r="66" customFormat="false" ht="15" hidden="false" customHeight="false" outlineLevel="0" collapsed="false">
      <c r="B66" s="57" t="s">
        <v>912</v>
      </c>
      <c r="C66" s="57" t="s">
        <v>913</v>
      </c>
      <c r="D66" s="86" t="n">
        <v>3</v>
      </c>
      <c r="E66" s="77" t="s">
        <v>914</v>
      </c>
      <c r="F66" s="77" t="s">
        <v>915</v>
      </c>
      <c r="G66" s="77" t="s">
        <v>73</v>
      </c>
    </row>
    <row r="67" customFormat="false" ht="15" hidden="false" customHeight="false" outlineLevel="0" collapsed="false">
      <c r="B67" s="57" t="s">
        <v>916</v>
      </c>
      <c r="C67" s="57" t="s">
        <v>917</v>
      </c>
      <c r="D67" s="84" t="n">
        <f aca="false">ROUND(Pricing!$C$52*'Planning Inputs'!$D$66,0)</f>
        <v>3</v>
      </c>
      <c r="E67" s="77" t="s">
        <v>918</v>
      </c>
      <c r="F67" s="77" t="s">
        <v>919</v>
      </c>
      <c r="G67" s="77" t="s">
        <v>72</v>
      </c>
    </row>
    <row r="68" customFormat="false" ht="15" hidden="false" customHeight="false" outlineLevel="0" collapsed="false">
      <c r="B68" s="57" t="s">
        <v>920</v>
      </c>
      <c r="C68" s="57" t="s">
        <v>921</v>
      </c>
      <c r="D68" s="84" t="n">
        <f aca="false">ROUND(Pricing!$C$61*'Planning Inputs'!$D$66,0)</f>
        <v>114</v>
      </c>
      <c r="E68" s="77" t="s">
        <v>918</v>
      </c>
      <c r="F68" s="77" t="s">
        <v>922</v>
      </c>
      <c r="G68" s="77" t="s">
        <v>72</v>
      </c>
    </row>
    <row r="69" customFormat="false" ht="15" hidden="false" customHeight="false" outlineLevel="0" collapsed="false">
      <c r="B69" s="57" t="s">
        <v>923</v>
      </c>
      <c r="C69" s="57" t="s">
        <v>924</v>
      </c>
      <c r="D69" s="85" t="n">
        <v>500</v>
      </c>
      <c r="E69" s="77" t="s">
        <v>925</v>
      </c>
      <c r="F69" s="77" t="s">
        <v>926</v>
      </c>
      <c r="G69" s="77" t="s">
        <v>73</v>
      </c>
    </row>
    <row r="70" customFormat="false" ht="23.85" hidden="false" customHeight="false" outlineLevel="0" collapsed="false">
      <c r="B70" s="57" t="s">
        <v>927</v>
      </c>
      <c r="C70" s="57" t="s">
        <v>928</v>
      </c>
      <c r="D70" s="81" t="n">
        <v>0.05</v>
      </c>
      <c r="E70" s="77" t="s">
        <v>929</v>
      </c>
      <c r="F70" s="77" t="s">
        <v>930</v>
      </c>
      <c r="G70" s="77" t="s">
        <v>73</v>
      </c>
    </row>
    <row r="72" customFormat="false" ht="15" hidden="false" customHeight="false" outlineLevel="0" collapsed="false">
      <c r="B72" s="55" t="s">
        <v>931</v>
      </c>
    </row>
    <row r="73" customFormat="false" ht="15" hidden="false" customHeight="false" outlineLevel="0" collapsed="false">
      <c r="B73" s="75" t="s">
        <v>100</v>
      </c>
      <c r="C73" s="75" t="s">
        <v>932</v>
      </c>
      <c r="D73" s="75" t="s">
        <v>933</v>
      </c>
      <c r="E73" s="75" t="s">
        <v>934</v>
      </c>
      <c r="F73" s="75" t="s">
        <v>935</v>
      </c>
      <c r="G73" s="75" t="s">
        <v>936</v>
      </c>
      <c r="H73" s="75" t="s">
        <v>937</v>
      </c>
      <c r="I73" s="75" t="s">
        <v>938</v>
      </c>
    </row>
    <row r="74" customFormat="false" ht="15" hidden="false" customHeight="false" outlineLevel="0" collapsed="false">
      <c r="B74" s="87"/>
      <c r="C74" s="57" t="s">
        <v>939</v>
      </c>
      <c r="D74" s="88" t="n">
        <v>0.3</v>
      </c>
      <c r="E74" s="88" t="n">
        <v>0.25</v>
      </c>
      <c r="F74" s="88" t="n">
        <v>0.2</v>
      </c>
      <c r="G74" s="88" t="n">
        <v>0.25</v>
      </c>
      <c r="H74" s="89" t="n">
        <f aca="false">SUM(D74:G74)</f>
        <v>1</v>
      </c>
      <c r="I74" s="87"/>
    </row>
    <row r="75" customFormat="false" ht="15" hidden="false" customHeight="false" outlineLevel="0" collapsed="false">
      <c r="B75" s="57" t="s">
        <v>111</v>
      </c>
      <c r="C75" s="57" t="s">
        <v>940</v>
      </c>
      <c r="D75" s="90" t="n">
        <v>5</v>
      </c>
      <c r="E75" s="90" t="n">
        <v>3</v>
      </c>
      <c r="F75" s="90" t="n">
        <v>4</v>
      </c>
      <c r="G75" s="90" t="n">
        <v>5</v>
      </c>
      <c r="H75" s="91" t="n">
        <f aca="false">SUMPRODUCT(D75:G75,$D$74:$G$74)</f>
        <v>4.3</v>
      </c>
      <c r="I75" s="92" t="n">
        <f aca="false">RANK(H75,$H$75:$H$80)</f>
        <v>1</v>
      </c>
    </row>
    <row r="76" customFormat="false" ht="15" hidden="false" customHeight="false" outlineLevel="0" collapsed="false">
      <c r="B76" s="57" t="s">
        <v>120</v>
      </c>
      <c r="C76" s="57" t="s">
        <v>121</v>
      </c>
      <c r="D76" s="90" t="n">
        <v>4</v>
      </c>
      <c r="E76" s="90" t="n">
        <v>2</v>
      </c>
      <c r="F76" s="90" t="n">
        <v>4</v>
      </c>
      <c r="G76" s="90" t="n">
        <v>5</v>
      </c>
      <c r="H76" s="91" t="n">
        <f aca="false">SUMPRODUCT(D76:G76,$D$74:$G$74)</f>
        <v>3.75</v>
      </c>
      <c r="I76" s="92" t="n">
        <f aca="false">RANK(H76,$H$75:$H$80)</f>
        <v>3</v>
      </c>
    </row>
    <row r="77" customFormat="false" ht="15" hidden="false" customHeight="false" outlineLevel="0" collapsed="false">
      <c r="B77" s="57" t="s">
        <v>129</v>
      </c>
      <c r="C77" s="57" t="s">
        <v>941</v>
      </c>
      <c r="D77" s="90" t="n">
        <v>4</v>
      </c>
      <c r="E77" s="90" t="n">
        <v>5</v>
      </c>
      <c r="F77" s="90" t="n">
        <v>3</v>
      </c>
      <c r="G77" s="90" t="n">
        <v>2</v>
      </c>
      <c r="H77" s="91" t="n">
        <f aca="false">SUMPRODUCT(D77:G77,$D$74:$G$74)</f>
        <v>3.55</v>
      </c>
      <c r="I77" s="92" t="n">
        <f aca="false">RANK(H77,$H$75:$H$80)</f>
        <v>4</v>
      </c>
    </row>
    <row r="78" customFormat="false" ht="15" hidden="false" customHeight="false" outlineLevel="0" collapsed="false">
      <c r="B78" s="57" t="s">
        <v>139</v>
      </c>
      <c r="C78" s="57" t="s">
        <v>942</v>
      </c>
      <c r="D78" s="90" t="n">
        <v>3</v>
      </c>
      <c r="E78" s="90" t="n">
        <v>4</v>
      </c>
      <c r="F78" s="90" t="n">
        <v>1</v>
      </c>
      <c r="G78" s="90" t="n">
        <v>1</v>
      </c>
      <c r="H78" s="91" t="n">
        <f aca="false">SUMPRODUCT(D78:G78,$D$74:$G$74)</f>
        <v>2.35</v>
      </c>
      <c r="I78" s="92" t="n">
        <f aca="false">RANK(H78,$H$75:$H$80)</f>
        <v>6</v>
      </c>
    </row>
    <row r="79" customFormat="false" ht="15" hidden="false" customHeight="false" outlineLevel="0" collapsed="false">
      <c r="B79" s="57" t="s">
        <v>149</v>
      </c>
      <c r="C79" s="57" t="s">
        <v>943</v>
      </c>
      <c r="D79" s="90" t="n">
        <v>5</v>
      </c>
      <c r="E79" s="90" t="n">
        <v>2</v>
      </c>
      <c r="F79" s="90" t="n">
        <v>3</v>
      </c>
      <c r="G79" s="90" t="n">
        <v>5</v>
      </c>
      <c r="H79" s="91" t="n">
        <f aca="false">SUMPRODUCT(D79:G79,$D$74:$G$74)</f>
        <v>3.85</v>
      </c>
      <c r="I79" s="92" t="n">
        <f aca="false">RANK(H79,$H$75:$H$80)</f>
        <v>2</v>
      </c>
    </row>
    <row r="80" customFormat="false" ht="15" hidden="false" customHeight="false" outlineLevel="0" collapsed="false">
      <c r="B80" s="57" t="s">
        <v>158</v>
      </c>
      <c r="C80" s="57" t="s">
        <v>944</v>
      </c>
      <c r="D80" s="90" t="n">
        <v>4</v>
      </c>
      <c r="E80" s="90" t="n">
        <v>5</v>
      </c>
      <c r="F80" s="90" t="n">
        <v>2</v>
      </c>
      <c r="G80" s="90" t="n">
        <v>1</v>
      </c>
      <c r="H80" s="91" t="n">
        <f aca="false">SUMPRODUCT(D80:G80,$D$74:$G$74)</f>
        <v>3.1</v>
      </c>
      <c r="I80" s="92" t="n">
        <f aca="false">RANK(H80,$H$75:$H$80)</f>
        <v>5</v>
      </c>
    </row>
    <row r="81" customFormat="false" ht="27.75" hidden="false" customHeight="true" outlineLevel="0" collapsed="false">
      <c r="B81" s="52" t="s">
        <v>945</v>
      </c>
      <c r="C81" s="52"/>
      <c r="D81" s="52"/>
      <c r="E81" s="52"/>
      <c r="F81" s="52"/>
      <c r="G81" s="52"/>
      <c r="H81" s="52"/>
      <c r="I81" s="52"/>
    </row>
  </sheetData>
  <mergeCells count="2">
    <mergeCell ref="B3:G3"/>
    <mergeCell ref="B81:I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2:K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34"/>
    <col collapsed="false" customWidth="true" hidden="false" outlineLevel="0" max="8" min="8" style="1" width="38"/>
    <col collapsed="false" customWidth="true" hidden="false" outlineLevel="0" max="10" min="9" style="1" width="14"/>
    <col collapsed="false" customWidth="true" hidden="false" outlineLevel="0" max="11" min="11" style="1" width="52"/>
  </cols>
  <sheetData>
    <row r="2" customFormat="false" ht="27.75" hidden="false" customHeight="true" outlineLevel="0" collapsed="false">
      <c r="B2" s="2" t="s">
        <v>946</v>
      </c>
    </row>
    <row r="3" customFormat="false" ht="42" hidden="false" customHeight="true" outlineLevel="0" collapsed="false">
      <c r="B3" s="3" t="s">
        <v>947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23.25" hidden="false" customHeight="true" outlineLevel="0" collapsed="false">
      <c r="B5" s="5" t="s">
        <v>100</v>
      </c>
      <c r="C5" s="5" t="s">
        <v>948</v>
      </c>
      <c r="D5" s="5" t="s">
        <v>3</v>
      </c>
      <c r="E5" s="5" t="s">
        <v>312</v>
      </c>
      <c r="F5" s="5" t="s">
        <v>768</v>
      </c>
      <c r="G5" s="5" t="s">
        <v>949</v>
      </c>
      <c r="H5" s="5" t="s">
        <v>950</v>
      </c>
      <c r="I5" s="5" t="s">
        <v>69</v>
      </c>
      <c r="J5" s="5" t="s">
        <v>951</v>
      </c>
      <c r="K5" s="5" t="s">
        <v>190</v>
      </c>
    </row>
    <row r="6" customFormat="false" ht="15.75" hidden="false" customHeight="true" outlineLevel="0" collapsed="false">
      <c r="B6" s="93" t="s">
        <v>952</v>
      </c>
      <c r="C6" s="11" t="s">
        <v>85</v>
      </c>
      <c r="D6" s="11" t="s">
        <v>953</v>
      </c>
      <c r="E6" s="10" t="n">
        <f aca="false">Pricing!C15</f>
        <v>2999</v>
      </c>
      <c r="F6" s="27" t="s">
        <v>892</v>
      </c>
      <c r="G6" s="11" t="s">
        <v>954</v>
      </c>
      <c r="H6" s="11" t="s">
        <v>955</v>
      </c>
      <c r="I6" s="27" t="s">
        <v>71</v>
      </c>
      <c r="J6" s="27" t="s">
        <v>323</v>
      </c>
      <c r="K6" s="11"/>
    </row>
    <row r="7" customFormat="false" ht="15.75" hidden="false" customHeight="true" outlineLevel="0" collapsed="false">
      <c r="B7" s="93" t="s">
        <v>956</v>
      </c>
      <c r="C7" s="11" t="s">
        <v>85</v>
      </c>
      <c r="D7" s="11" t="s">
        <v>957</v>
      </c>
      <c r="E7" s="10" t="n">
        <f aca="false">Pricing!D15</f>
        <v>7999</v>
      </c>
      <c r="F7" s="27" t="s">
        <v>892</v>
      </c>
      <c r="G7" s="11" t="s">
        <v>954</v>
      </c>
      <c r="H7" s="11" t="s">
        <v>958</v>
      </c>
      <c r="I7" s="27" t="s">
        <v>71</v>
      </c>
      <c r="J7" s="27" t="s">
        <v>323</v>
      </c>
      <c r="K7" s="11"/>
    </row>
    <row r="8" customFormat="false" ht="15.75" hidden="false" customHeight="true" outlineLevel="0" collapsed="false">
      <c r="B8" s="93" t="s">
        <v>959</v>
      </c>
      <c r="C8" s="11" t="s">
        <v>85</v>
      </c>
      <c r="D8" s="11" t="s">
        <v>960</v>
      </c>
      <c r="E8" s="10" t="n">
        <f aca="false">Pricing!E15</f>
        <v>19999</v>
      </c>
      <c r="F8" s="27" t="s">
        <v>892</v>
      </c>
      <c r="G8" s="11" t="s">
        <v>954</v>
      </c>
      <c r="H8" s="11" t="s">
        <v>961</v>
      </c>
      <c r="I8" s="27" t="s">
        <v>71</v>
      </c>
      <c r="J8" s="27" t="s">
        <v>323</v>
      </c>
      <c r="K8" s="11"/>
    </row>
    <row r="9" customFormat="false" ht="15.75" hidden="false" customHeight="true" outlineLevel="0" collapsed="false">
      <c r="B9" s="93" t="s">
        <v>962</v>
      </c>
      <c r="C9" s="11" t="s">
        <v>85</v>
      </c>
      <c r="D9" s="11" t="s">
        <v>46</v>
      </c>
      <c r="E9" s="16" t="n">
        <f aca="false">Pricing!$C$7</f>
        <v>0.17</v>
      </c>
      <c r="F9" s="27" t="s">
        <v>963</v>
      </c>
      <c r="G9" s="11" t="s">
        <v>954</v>
      </c>
      <c r="H9" s="11" t="s">
        <v>964</v>
      </c>
      <c r="I9" s="27" t="s">
        <v>71</v>
      </c>
      <c r="J9" s="27" t="s">
        <v>323</v>
      </c>
      <c r="K9" s="11"/>
    </row>
    <row r="10" customFormat="false" ht="29.25" hidden="false" customHeight="true" outlineLevel="0" collapsed="false">
      <c r="B10" s="93" t="s">
        <v>965</v>
      </c>
      <c r="C10" s="11" t="s">
        <v>85</v>
      </c>
      <c r="D10" s="11" t="s">
        <v>47</v>
      </c>
      <c r="E10" s="17" t="n">
        <f aca="false">Pricing!$C$8</f>
        <v>96.07</v>
      </c>
      <c r="F10" s="27" t="s">
        <v>966</v>
      </c>
      <c r="G10" s="11" t="s">
        <v>954</v>
      </c>
      <c r="H10" s="11" t="s">
        <v>967</v>
      </c>
      <c r="I10" s="27" t="s">
        <v>71</v>
      </c>
      <c r="J10" s="27" t="s">
        <v>138</v>
      </c>
      <c r="K10" s="11" t="s">
        <v>968</v>
      </c>
    </row>
    <row r="11" customFormat="false" ht="15.75" hidden="false" customHeight="true" outlineLevel="0" collapsed="false">
      <c r="B11" s="93" t="s">
        <v>969</v>
      </c>
      <c r="C11" s="11" t="s">
        <v>85</v>
      </c>
      <c r="D11" s="11" t="s">
        <v>970</v>
      </c>
      <c r="E11" s="35" t="s">
        <v>971</v>
      </c>
      <c r="F11" s="27"/>
      <c r="G11" s="11" t="s">
        <v>954</v>
      </c>
      <c r="H11" s="11" t="s">
        <v>972</v>
      </c>
      <c r="I11" s="27" t="s">
        <v>71</v>
      </c>
      <c r="J11" s="27" t="s">
        <v>323</v>
      </c>
      <c r="K11" s="11"/>
    </row>
    <row r="12" customFormat="false" ht="15.75" hidden="false" customHeight="true" outlineLevel="0" collapsed="false">
      <c r="B12" s="93" t="s">
        <v>973</v>
      </c>
      <c r="C12" s="11" t="s">
        <v>85</v>
      </c>
      <c r="D12" s="11" t="s">
        <v>974</v>
      </c>
      <c r="E12" s="26" t="str">
        <f aca="false">TEXT(Pricing!C17,"#,##0")&amp;" / "&amp;TEXT(Pricing!D17,"#,##0")&amp;" / "&amp;TEXT(Pricing!E17,"#,##0")</f>
        <v>3,613 / 9,637 / 24,095</v>
      </c>
      <c r="F12" s="27" t="s">
        <v>892</v>
      </c>
      <c r="G12" s="11" t="s">
        <v>954</v>
      </c>
      <c r="H12" s="11" t="s">
        <v>975</v>
      </c>
      <c r="I12" s="27" t="s">
        <v>72</v>
      </c>
      <c r="J12" s="27" t="s">
        <v>323</v>
      </c>
      <c r="K12" s="11"/>
    </row>
    <row r="13" customFormat="false" ht="29.25" hidden="false" customHeight="true" outlineLevel="0" collapsed="false">
      <c r="B13" s="93" t="s">
        <v>976</v>
      </c>
      <c r="C13" s="11" t="s">
        <v>85</v>
      </c>
      <c r="D13" s="11" t="s">
        <v>977</v>
      </c>
      <c r="E13" s="35" t="s">
        <v>978</v>
      </c>
      <c r="F13" s="27"/>
      <c r="G13" s="11" t="s">
        <v>954</v>
      </c>
      <c r="H13" s="11" t="s">
        <v>979</v>
      </c>
      <c r="I13" s="27" t="s">
        <v>71</v>
      </c>
      <c r="J13" s="27" t="s">
        <v>138</v>
      </c>
      <c r="K13" s="11" t="s">
        <v>980</v>
      </c>
    </row>
    <row r="14" customFormat="false" ht="15.75" hidden="false" customHeight="true" outlineLevel="0" collapsed="false">
      <c r="B14" s="93" t="s">
        <v>981</v>
      </c>
      <c r="C14" s="11" t="s">
        <v>85</v>
      </c>
      <c r="D14" s="11" t="s">
        <v>982</v>
      </c>
      <c r="E14" s="35" t="s">
        <v>983</v>
      </c>
      <c r="F14" s="27"/>
      <c r="G14" s="11" t="s">
        <v>954</v>
      </c>
      <c r="H14" s="11" t="s">
        <v>984</v>
      </c>
      <c r="I14" s="27" t="s">
        <v>71</v>
      </c>
      <c r="J14" s="27" t="s">
        <v>148</v>
      </c>
      <c r="K14" s="11" t="s">
        <v>985</v>
      </c>
    </row>
    <row r="15" customFormat="false" ht="15.75" hidden="false" customHeight="true" outlineLevel="0" collapsed="false">
      <c r="B15" s="93" t="s">
        <v>986</v>
      </c>
      <c r="C15" s="11" t="s">
        <v>85</v>
      </c>
      <c r="D15" s="11" t="s">
        <v>987</v>
      </c>
      <c r="E15" s="26" t="str">
        <f aca="false">Pricing!C48&amp;" / "&amp;Pricing!D48&amp;" / "&amp;Pricing!E48</f>
        <v>10 / 50 / 150</v>
      </c>
      <c r="F15" s="27" t="s">
        <v>988</v>
      </c>
      <c r="G15" s="11" t="s">
        <v>954</v>
      </c>
      <c r="H15" s="11" t="s">
        <v>989</v>
      </c>
      <c r="I15" s="27" t="s">
        <v>71</v>
      </c>
      <c r="J15" s="27" t="s">
        <v>323</v>
      </c>
      <c r="K15" s="11"/>
    </row>
    <row r="16" customFormat="false" ht="15.75" hidden="false" customHeight="true" outlineLevel="0" collapsed="false">
      <c r="B16" s="93" t="s">
        <v>990</v>
      </c>
      <c r="C16" s="11" t="s">
        <v>85</v>
      </c>
      <c r="D16" s="11" t="s">
        <v>991</v>
      </c>
      <c r="E16" s="26" t="str">
        <f aca="false">Pricing!C49&amp;" / "&amp;Pricing!D49&amp;" / "&amp;Pricing!E49</f>
        <v>100 / 1000 / 5000</v>
      </c>
      <c r="F16" s="27" t="s">
        <v>789</v>
      </c>
      <c r="G16" s="11" t="s">
        <v>954</v>
      </c>
      <c r="H16" s="11" t="s">
        <v>992</v>
      </c>
      <c r="I16" s="27" t="s">
        <v>71</v>
      </c>
      <c r="J16" s="27" t="s">
        <v>323</v>
      </c>
      <c r="K16" s="11"/>
    </row>
    <row r="17" customFormat="false" ht="15.75" hidden="false" customHeight="true" outlineLevel="0" collapsed="false">
      <c r="B17" s="93" t="s">
        <v>993</v>
      </c>
      <c r="C17" s="11" t="s">
        <v>85</v>
      </c>
      <c r="D17" s="11" t="s">
        <v>994</v>
      </c>
      <c r="E17" s="26" t="str">
        <f aca="false">Pricing!C50&amp;" / "&amp;Pricing!D50&amp;" / "&amp;Pricing!E50</f>
        <v>3 / 180 / 650</v>
      </c>
      <c r="F17" s="27" t="s">
        <v>892</v>
      </c>
      <c r="G17" s="11" t="s">
        <v>954</v>
      </c>
      <c r="H17" s="11" t="s">
        <v>995</v>
      </c>
      <c r="I17" s="27" t="s">
        <v>71</v>
      </c>
      <c r="J17" s="27" t="s">
        <v>148</v>
      </c>
      <c r="K17" s="11" t="s">
        <v>996</v>
      </c>
    </row>
    <row r="18" customFormat="false" ht="29.25" hidden="false" customHeight="true" outlineLevel="0" collapsed="false">
      <c r="B18" s="93" t="s">
        <v>997</v>
      </c>
      <c r="C18" s="11" t="s">
        <v>998</v>
      </c>
      <c r="D18" s="11" t="s">
        <v>398</v>
      </c>
      <c r="E18" s="14" t="n">
        <f aca="false">Pricing!$C$51</f>
        <v>34</v>
      </c>
      <c r="F18" s="27" t="s">
        <v>999</v>
      </c>
      <c r="G18" s="11" t="s">
        <v>954</v>
      </c>
      <c r="H18" s="11" t="s">
        <v>1000</v>
      </c>
      <c r="I18" s="27" t="s">
        <v>76</v>
      </c>
      <c r="J18" s="27" t="s">
        <v>148</v>
      </c>
      <c r="K18" s="11" t="s">
        <v>1001</v>
      </c>
    </row>
    <row r="19" customFormat="false" ht="29.25" hidden="false" customHeight="true" outlineLevel="0" collapsed="false">
      <c r="B19" s="93" t="s">
        <v>1002</v>
      </c>
      <c r="C19" s="11" t="s">
        <v>998</v>
      </c>
      <c r="D19" s="11" t="s">
        <v>1003</v>
      </c>
      <c r="E19" s="14" t="n">
        <f aca="false">Pricing!$C$61</f>
        <v>38.0010222222222</v>
      </c>
      <c r="F19" s="27" t="s">
        <v>999</v>
      </c>
      <c r="G19" s="11" t="s">
        <v>1004</v>
      </c>
      <c r="H19" s="11" t="s">
        <v>1005</v>
      </c>
      <c r="I19" s="27" t="s">
        <v>72</v>
      </c>
      <c r="J19" s="27" t="s">
        <v>138</v>
      </c>
      <c r="K19" s="11" t="s">
        <v>1006</v>
      </c>
    </row>
    <row r="20" customFormat="false" ht="29.25" hidden="false" customHeight="true" outlineLevel="0" collapsed="false">
      <c r="B20" s="93" t="s">
        <v>1007</v>
      </c>
      <c r="C20" s="11" t="s">
        <v>998</v>
      </c>
      <c r="D20" s="11" t="s">
        <v>400</v>
      </c>
      <c r="E20" s="15" t="n">
        <f aca="false">Pricing!$C$52</f>
        <v>0.9</v>
      </c>
      <c r="F20" s="27" t="s">
        <v>999</v>
      </c>
      <c r="G20" s="11" t="s">
        <v>954</v>
      </c>
      <c r="H20" s="11" t="s">
        <v>1008</v>
      </c>
      <c r="I20" s="27" t="s">
        <v>73</v>
      </c>
      <c r="J20" s="27" t="s">
        <v>148</v>
      </c>
      <c r="K20" s="11" t="s">
        <v>1009</v>
      </c>
    </row>
    <row r="21" customFormat="false" ht="29.25" hidden="false" customHeight="true" outlineLevel="0" collapsed="false">
      <c r="B21" s="93" t="s">
        <v>1010</v>
      </c>
      <c r="C21" s="11" t="s">
        <v>998</v>
      </c>
      <c r="D21" s="11" t="s">
        <v>1011</v>
      </c>
      <c r="E21" s="35" t="s">
        <v>1012</v>
      </c>
      <c r="F21" s="27" t="s">
        <v>999</v>
      </c>
      <c r="G21" s="11" t="s">
        <v>954</v>
      </c>
      <c r="H21" s="11" t="s">
        <v>1008</v>
      </c>
      <c r="I21" s="27" t="s">
        <v>73</v>
      </c>
      <c r="J21" s="27" t="s">
        <v>148</v>
      </c>
      <c r="K21" s="11" t="s">
        <v>1013</v>
      </c>
    </row>
    <row r="22" customFormat="false" ht="15.75" hidden="false" customHeight="true" outlineLevel="0" collapsed="false">
      <c r="B22" s="93" t="s">
        <v>1014</v>
      </c>
      <c r="C22" s="11" t="s">
        <v>998</v>
      </c>
      <c r="D22" s="11" t="s">
        <v>423</v>
      </c>
      <c r="E22" s="94" t="n">
        <f aca="false">Pricing!$C$64</f>
        <v>6</v>
      </c>
      <c r="F22" s="27" t="s">
        <v>1015</v>
      </c>
      <c r="G22" s="11" t="s">
        <v>954</v>
      </c>
      <c r="H22" s="11" t="s">
        <v>1016</v>
      </c>
      <c r="I22" s="27" t="s">
        <v>71</v>
      </c>
      <c r="J22" s="27" t="s">
        <v>323</v>
      </c>
      <c r="K22" s="11" t="s">
        <v>1017</v>
      </c>
    </row>
    <row r="23" customFormat="false" ht="29.25" hidden="false" customHeight="true" outlineLevel="0" collapsed="false">
      <c r="B23" s="93" t="s">
        <v>1018</v>
      </c>
      <c r="C23" s="11" t="s">
        <v>998</v>
      </c>
      <c r="D23" s="11" t="s">
        <v>1019</v>
      </c>
      <c r="E23" s="26" t="str">
        <f aca="false">TEXT(Pricing!C57,"0.0%")&amp;" / "&amp;TEXT(Pricing!D57,"0.0%")&amp;" / "&amp;TEXT(Pricing!E57,"0.0%")</f>
        <v>85.6% / 65.2% / 48.7%</v>
      </c>
      <c r="F23" s="27" t="s">
        <v>963</v>
      </c>
      <c r="G23" s="11" t="s">
        <v>1020</v>
      </c>
      <c r="H23" s="11" t="s">
        <v>296</v>
      </c>
      <c r="I23" s="27" t="s">
        <v>72</v>
      </c>
      <c r="J23" s="27" t="s">
        <v>138</v>
      </c>
      <c r="K23" s="11" t="s">
        <v>1021</v>
      </c>
    </row>
    <row r="24" customFormat="false" ht="15.75" hidden="false" customHeight="true" outlineLevel="0" collapsed="false">
      <c r="B24" s="93" t="s">
        <v>1022</v>
      </c>
      <c r="C24" s="11" t="s">
        <v>998</v>
      </c>
      <c r="D24" s="11" t="s">
        <v>1023</v>
      </c>
      <c r="E24" s="26" t="str">
        <f aca="false">TEXT(Pricing!C63,"0.0%")&amp;" / "&amp;TEXT(Pricing!D63,"0.0%")&amp;" / "&amp;TEXT(Pricing!E63,"0.0%")</f>
        <v>84.2% / 62.7% / 45.7%</v>
      </c>
      <c r="F24" s="27" t="s">
        <v>963</v>
      </c>
      <c r="G24" s="11" t="s">
        <v>1020</v>
      </c>
      <c r="H24" s="11" t="s">
        <v>296</v>
      </c>
      <c r="I24" s="27" t="s">
        <v>72</v>
      </c>
      <c r="J24" s="27" t="s">
        <v>138</v>
      </c>
      <c r="K24" s="11"/>
    </row>
    <row r="25" customFormat="false" ht="29.25" hidden="false" customHeight="true" outlineLevel="0" collapsed="false">
      <c r="B25" s="93" t="s">
        <v>1024</v>
      </c>
      <c r="C25" s="11" t="s">
        <v>998</v>
      </c>
      <c r="D25" s="11" t="s">
        <v>1025</v>
      </c>
      <c r="E25" s="26" t="str">
        <f aca="false">TEXT(Pricing!C66,"0.0%")&amp;" / "&amp;TEXT(Pricing!D66,"0.0%")&amp;" / "&amp;TEXT(Pricing!E66,"0.0%")</f>
        <v>84.2% / 6.5% / -66.8%</v>
      </c>
      <c r="F25" s="27" t="s">
        <v>963</v>
      </c>
      <c r="G25" s="11" t="s">
        <v>1020</v>
      </c>
      <c r="H25" s="11" t="s">
        <v>296</v>
      </c>
      <c r="I25" s="27" t="s">
        <v>72</v>
      </c>
      <c r="J25" s="27" t="s">
        <v>148</v>
      </c>
      <c r="K25" s="11" t="s">
        <v>1026</v>
      </c>
    </row>
    <row r="26" customFormat="false" ht="15.75" hidden="false" customHeight="true" outlineLevel="0" collapsed="false">
      <c r="B26" s="93" t="s">
        <v>1027</v>
      </c>
      <c r="C26" s="11" t="s">
        <v>85</v>
      </c>
      <c r="D26" s="11" t="s">
        <v>1028</v>
      </c>
      <c r="E26" s="26" t="str">
        <f aca="false">TEXT(Pricing!C71,"#,##0")&amp;" / "&amp;TEXT(Pricing!C72,"#,##0")</f>
        <v>4,000 / 5,000</v>
      </c>
      <c r="F26" s="27" t="s">
        <v>892</v>
      </c>
      <c r="G26" s="11" t="s">
        <v>954</v>
      </c>
      <c r="H26" s="11" t="s">
        <v>1029</v>
      </c>
      <c r="I26" s="27" t="s">
        <v>71</v>
      </c>
      <c r="J26" s="27" t="s">
        <v>323</v>
      </c>
      <c r="K26" s="11"/>
    </row>
    <row r="27" customFormat="false" ht="15.75" hidden="false" customHeight="true" outlineLevel="0" collapsed="false">
      <c r="B27" s="93" t="s">
        <v>1030</v>
      </c>
      <c r="C27" s="11" t="s">
        <v>85</v>
      </c>
      <c r="D27" s="11" t="s">
        <v>1031</v>
      </c>
      <c r="E27" s="26" t="str">
        <f aca="false">TEXT(Pricing!D71,"#,##0")&amp;" / "&amp;TEXT(Pricing!D72,"#,##0")</f>
        <v>12,000 / 15,000</v>
      </c>
      <c r="F27" s="27" t="s">
        <v>892</v>
      </c>
      <c r="G27" s="11" t="s">
        <v>954</v>
      </c>
      <c r="H27" s="11" t="s">
        <v>1032</v>
      </c>
      <c r="I27" s="27" t="s">
        <v>71</v>
      </c>
      <c r="J27" s="27" t="s">
        <v>323</v>
      </c>
      <c r="K27" s="11"/>
    </row>
    <row r="28" customFormat="false" ht="15.75" hidden="false" customHeight="true" outlineLevel="0" collapsed="false">
      <c r="B28" s="93" t="s">
        <v>1033</v>
      </c>
      <c r="C28" s="11" t="s">
        <v>85</v>
      </c>
      <c r="D28" s="11" t="s">
        <v>1034</v>
      </c>
      <c r="E28" s="26" t="str">
        <f aca="false">TEXT(Pricing!E71,"#,##0")&amp;" / "&amp;TEXT(Pricing!E72,"#,##0")</f>
        <v>29,000 / 39,000</v>
      </c>
      <c r="F28" s="27" t="s">
        <v>892</v>
      </c>
      <c r="G28" s="11" t="s">
        <v>954</v>
      </c>
      <c r="H28" s="11" t="s">
        <v>1035</v>
      </c>
      <c r="I28" s="27" t="s">
        <v>71</v>
      </c>
      <c r="J28" s="27" t="s">
        <v>323</v>
      </c>
      <c r="K28" s="11"/>
    </row>
    <row r="29" customFormat="false" ht="42" hidden="false" customHeight="true" outlineLevel="0" collapsed="false">
      <c r="B29" s="93" t="s">
        <v>1036</v>
      </c>
      <c r="C29" s="11" t="s">
        <v>85</v>
      </c>
      <c r="D29" s="11" t="s">
        <v>1037</v>
      </c>
      <c r="E29" s="35" t="s">
        <v>1038</v>
      </c>
      <c r="F29" s="27"/>
      <c r="G29" s="11" t="s">
        <v>954</v>
      </c>
      <c r="H29" s="11" t="s">
        <v>1039</v>
      </c>
      <c r="I29" s="27" t="s">
        <v>71</v>
      </c>
      <c r="J29" s="27" t="s">
        <v>323</v>
      </c>
      <c r="K29" s="11" t="s">
        <v>1040</v>
      </c>
    </row>
    <row r="30" customFormat="false" ht="15.75" hidden="false" customHeight="true" outlineLevel="0" collapsed="false">
      <c r="B30" s="93" t="s">
        <v>1041</v>
      </c>
      <c r="C30" s="11" t="s">
        <v>85</v>
      </c>
      <c r="D30" s="11" t="s">
        <v>1042</v>
      </c>
      <c r="E30" s="35" t="s">
        <v>1043</v>
      </c>
      <c r="F30" s="27"/>
      <c r="G30" s="11" t="s">
        <v>954</v>
      </c>
      <c r="H30" s="11" t="s">
        <v>1044</v>
      </c>
      <c r="I30" s="27" t="s">
        <v>71</v>
      </c>
      <c r="J30" s="27" t="s">
        <v>323</v>
      </c>
      <c r="K30" s="11" t="s">
        <v>1045</v>
      </c>
    </row>
    <row r="31" customFormat="false" ht="29.25" hidden="false" customHeight="true" outlineLevel="0" collapsed="false">
      <c r="B31" s="93" t="s">
        <v>1046</v>
      </c>
      <c r="C31" s="11" t="s">
        <v>85</v>
      </c>
      <c r="D31" s="11" t="s">
        <v>1047</v>
      </c>
      <c r="E31" s="35" t="s">
        <v>1048</v>
      </c>
      <c r="F31" s="27"/>
      <c r="G31" s="11" t="s">
        <v>954</v>
      </c>
      <c r="H31" s="11" t="s">
        <v>1049</v>
      </c>
      <c r="I31" s="27" t="s">
        <v>71</v>
      </c>
      <c r="J31" s="27" t="s">
        <v>323</v>
      </c>
      <c r="K31" s="11" t="s">
        <v>1050</v>
      </c>
    </row>
    <row r="32" customFormat="false" ht="15.75" hidden="false" customHeight="true" outlineLevel="0" collapsed="false">
      <c r="B32" s="93" t="s">
        <v>1051</v>
      </c>
      <c r="C32" s="11" t="s">
        <v>85</v>
      </c>
      <c r="D32" s="11" t="s">
        <v>1052</v>
      </c>
      <c r="E32" s="25" t="str">
        <f aca="false">"Analysis ₹"&amp;'Planning Inputs'!$D$67&amp;", credit ₹"&amp;'Planning Inputs'!$D$68&amp;", seat ₹"&amp;'Planning Inputs'!$D$69&amp;"; 14-day trial; 2-yr prepay "&amp;TEXT('Planning Inputs'!$D$70,"0%")</f>
        <v>Analysis ₹3, credit ₹114, seat ₹500; 14-day trial; 2-yr prepay 5%</v>
      </c>
      <c r="F32" s="27"/>
      <c r="G32" s="24" t="s">
        <v>95</v>
      </c>
      <c r="H32" s="24" t="s">
        <v>1053</v>
      </c>
      <c r="I32" s="24" t="s">
        <v>73</v>
      </c>
      <c r="J32" s="24" t="s">
        <v>148</v>
      </c>
      <c r="K32" s="11"/>
    </row>
    <row r="33" customFormat="false" ht="42" hidden="false" customHeight="true" outlineLevel="0" collapsed="false">
      <c r="B33" s="93" t="s">
        <v>1054</v>
      </c>
      <c r="C33" s="11" t="s">
        <v>1055</v>
      </c>
      <c r="D33" s="11" t="s">
        <v>194</v>
      </c>
      <c r="E33" s="35" t="s">
        <v>1056</v>
      </c>
      <c r="F33" s="27"/>
      <c r="G33" s="11" t="s">
        <v>954</v>
      </c>
      <c r="H33" s="11" t="s">
        <v>1057</v>
      </c>
      <c r="I33" s="27" t="s">
        <v>71</v>
      </c>
      <c r="J33" s="27" t="s">
        <v>323</v>
      </c>
      <c r="K33" s="11"/>
    </row>
    <row r="34" customFormat="false" ht="29.25" hidden="false" customHeight="true" outlineLevel="0" collapsed="false">
      <c r="B34" s="93" t="s">
        <v>1058</v>
      </c>
      <c r="C34" s="11" t="s">
        <v>1055</v>
      </c>
      <c r="D34" s="11" t="s">
        <v>1059</v>
      </c>
      <c r="E34" s="35" t="s">
        <v>1060</v>
      </c>
      <c r="F34" s="27"/>
      <c r="G34" s="11" t="s">
        <v>1061</v>
      </c>
      <c r="H34" s="11" t="s">
        <v>1062</v>
      </c>
      <c r="I34" s="27" t="s">
        <v>71</v>
      </c>
      <c r="J34" s="27" t="s">
        <v>323</v>
      </c>
      <c r="K34" s="11" t="s">
        <v>1063</v>
      </c>
    </row>
    <row r="35" customFormat="false" ht="29.25" hidden="false" customHeight="true" outlineLevel="0" collapsed="false">
      <c r="B35" s="93" t="s">
        <v>1064</v>
      </c>
      <c r="C35" s="11" t="s">
        <v>1055</v>
      </c>
      <c r="D35" s="11" t="s">
        <v>1065</v>
      </c>
      <c r="E35" s="35" t="s">
        <v>1066</v>
      </c>
      <c r="F35" s="27"/>
      <c r="G35" s="11" t="s">
        <v>1061</v>
      </c>
      <c r="H35" s="11" t="s">
        <v>1067</v>
      </c>
      <c r="I35" s="27" t="s">
        <v>71</v>
      </c>
      <c r="J35" s="27" t="s">
        <v>323</v>
      </c>
      <c r="K35" s="11" t="s">
        <v>1068</v>
      </c>
    </row>
    <row r="36" customFormat="false" ht="29.25" hidden="false" customHeight="true" outlineLevel="0" collapsed="false">
      <c r="B36" s="93" t="s">
        <v>1069</v>
      </c>
      <c r="C36" s="11" t="s">
        <v>1055</v>
      </c>
      <c r="D36" s="11" t="s">
        <v>1070</v>
      </c>
      <c r="E36" s="35" t="s">
        <v>1071</v>
      </c>
      <c r="F36" s="27"/>
      <c r="G36" s="11" t="s">
        <v>1061</v>
      </c>
      <c r="H36" s="11" t="s">
        <v>1072</v>
      </c>
      <c r="I36" s="27" t="s">
        <v>71</v>
      </c>
      <c r="J36" s="27" t="s">
        <v>323</v>
      </c>
      <c r="K36" s="11" t="s">
        <v>1073</v>
      </c>
    </row>
    <row r="37" customFormat="false" ht="42" hidden="false" customHeight="true" outlineLevel="0" collapsed="false">
      <c r="B37" s="93" t="s">
        <v>1074</v>
      </c>
      <c r="C37" s="11" t="s">
        <v>1075</v>
      </c>
      <c r="D37" s="11" t="s">
        <v>1076</v>
      </c>
      <c r="E37" s="35" t="s">
        <v>1077</v>
      </c>
      <c r="F37" s="27"/>
      <c r="G37" s="11" t="s">
        <v>1078</v>
      </c>
      <c r="H37" s="11" t="s">
        <v>1067</v>
      </c>
      <c r="I37" s="27" t="s">
        <v>74</v>
      </c>
      <c r="J37" s="27" t="s">
        <v>148</v>
      </c>
      <c r="K37" s="11" t="s">
        <v>1079</v>
      </c>
    </row>
    <row r="38" customFormat="false" ht="42" hidden="false" customHeight="true" outlineLevel="0" collapsed="false">
      <c r="B38" s="93" t="s">
        <v>1080</v>
      </c>
      <c r="C38" s="11" t="s">
        <v>1075</v>
      </c>
      <c r="D38" s="11" t="s">
        <v>1081</v>
      </c>
      <c r="E38" s="35" t="s">
        <v>1082</v>
      </c>
      <c r="F38" s="27"/>
      <c r="G38" s="11" t="s">
        <v>1078</v>
      </c>
      <c r="H38" s="11" t="s">
        <v>1067</v>
      </c>
      <c r="I38" s="27" t="s">
        <v>74</v>
      </c>
      <c r="J38" s="27" t="s">
        <v>148</v>
      </c>
      <c r="K38" s="11" t="s">
        <v>1083</v>
      </c>
    </row>
    <row r="39" customFormat="false" ht="29.25" hidden="false" customHeight="true" outlineLevel="0" collapsed="false">
      <c r="B39" s="93" t="s">
        <v>1084</v>
      </c>
      <c r="C39" s="11" t="s">
        <v>1075</v>
      </c>
      <c r="D39" s="11" t="s">
        <v>1085</v>
      </c>
      <c r="E39" s="35" t="s">
        <v>1086</v>
      </c>
      <c r="F39" s="27"/>
      <c r="G39" s="11" t="s">
        <v>1078</v>
      </c>
      <c r="H39" s="11" t="s">
        <v>1087</v>
      </c>
      <c r="I39" s="27" t="s">
        <v>74</v>
      </c>
      <c r="J39" s="27" t="s">
        <v>148</v>
      </c>
      <c r="K39" s="11" t="s">
        <v>1088</v>
      </c>
    </row>
    <row r="40" customFormat="false" ht="29.25" hidden="false" customHeight="true" outlineLevel="0" collapsed="false">
      <c r="B40" s="93" t="s">
        <v>1089</v>
      </c>
      <c r="C40" s="11" t="s">
        <v>1075</v>
      </c>
      <c r="D40" s="11" t="s">
        <v>1090</v>
      </c>
      <c r="E40" s="35" t="s">
        <v>1091</v>
      </c>
      <c r="F40" s="27"/>
      <c r="G40" s="11" t="s">
        <v>954</v>
      </c>
      <c r="H40" s="11" t="s">
        <v>1092</v>
      </c>
      <c r="I40" s="27" t="s">
        <v>73</v>
      </c>
      <c r="J40" s="27" t="s">
        <v>148</v>
      </c>
      <c r="K40" s="11"/>
    </row>
    <row r="41" customFormat="false" ht="29.25" hidden="false" customHeight="true" outlineLevel="0" collapsed="false">
      <c r="B41" s="93" t="s">
        <v>1093</v>
      </c>
      <c r="C41" s="11" t="s">
        <v>1075</v>
      </c>
      <c r="D41" s="11" t="s">
        <v>1094</v>
      </c>
      <c r="E41" s="24" t="s">
        <v>1095</v>
      </c>
      <c r="F41" s="27"/>
      <c r="G41" s="24" t="s">
        <v>95</v>
      </c>
      <c r="H41" s="24" t="s">
        <v>1096</v>
      </c>
      <c r="I41" s="24" t="s">
        <v>73</v>
      </c>
      <c r="J41" s="24" t="s">
        <v>148</v>
      </c>
      <c r="K41" s="11"/>
    </row>
    <row r="42" customFormat="false" ht="15.75" hidden="false" customHeight="true" outlineLevel="0" collapsed="false">
      <c r="B42" s="93" t="s">
        <v>1097</v>
      </c>
      <c r="C42" s="11" t="s">
        <v>1075</v>
      </c>
      <c r="D42" s="11" t="s">
        <v>55</v>
      </c>
      <c r="E42" s="35" t="s">
        <v>1098</v>
      </c>
      <c r="F42" s="27"/>
      <c r="G42" s="11" t="s">
        <v>1061</v>
      </c>
      <c r="H42" s="11" t="s">
        <v>1099</v>
      </c>
      <c r="I42" s="27" t="s">
        <v>71</v>
      </c>
      <c r="J42" s="27" t="s">
        <v>323</v>
      </c>
      <c r="K42" s="11"/>
    </row>
    <row r="43" customFormat="false" ht="15.75" hidden="false" customHeight="true" outlineLevel="0" collapsed="false">
      <c r="B43" s="93" t="s">
        <v>1100</v>
      </c>
      <c r="C43" s="11" t="s">
        <v>1075</v>
      </c>
      <c r="D43" s="11" t="s">
        <v>58</v>
      </c>
      <c r="E43" s="35" t="s">
        <v>59</v>
      </c>
      <c r="F43" s="27"/>
      <c r="G43" s="11" t="s">
        <v>1061</v>
      </c>
      <c r="H43" s="11" t="s">
        <v>1099</v>
      </c>
      <c r="I43" s="27" t="s">
        <v>71</v>
      </c>
      <c r="J43" s="27" t="s">
        <v>323</v>
      </c>
      <c r="K43" s="11" t="s">
        <v>1101</v>
      </c>
    </row>
    <row r="44" customFormat="false" ht="15.75" hidden="false" customHeight="true" outlineLevel="0" collapsed="false">
      <c r="B44" s="93" t="s">
        <v>1102</v>
      </c>
      <c r="C44" s="11" t="s">
        <v>1075</v>
      </c>
      <c r="D44" s="11" t="s">
        <v>1103</v>
      </c>
      <c r="E44" s="35" t="s">
        <v>62</v>
      </c>
      <c r="F44" s="27"/>
      <c r="G44" s="11" t="s">
        <v>1061</v>
      </c>
      <c r="H44" s="11" t="s">
        <v>1099</v>
      </c>
      <c r="I44" s="27" t="s">
        <v>71</v>
      </c>
      <c r="J44" s="27" t="s">
        <v>323</v>
      </c>
      <c r="K44" s="11"/>
    </row>
    <row r="45" customFormat="false" ht="29.25" hidden="false" customHeight="true" outlineLevel="0" collapsed="false">
      <c r="B45" s="93" t="s">
        <v>1104</v>
      </c>
      <c r="C45" s="11" t="s">
        <v>1105</v>
      </c>
      <c r="D45" s="11" t="s">
        <v>1106</v>
      </c>
      <c r="E45" s="25" t="str">
        <f aca="false">"Churn "&amp;TEXT('Planning Inputs'!$D$37,"0.0%")&amp;" / "&amp;TEXT('Planning Inputs'!$D$38,"0.0%")&amp;" / "&amp;TEXT('Planning Inputs'!$D$39,"0.0%")&amp;" a month; mix "&amp;TEXT('Planning Inputs'!$D$34,"0%")&amp;" / "&amp;TEXT('Planning Inputs'!$D$35,"0%")&amp;" / "&amp;TEXT('Planning Inputs'!$D$36,"0%")</f>
        <v>Churn 3.0% / 1.5% / 0.7% a month; mix 60% / 30% / 10%</v>
      </c>
      <c r="F45" s="27"/>
      <c r="G45" s="24" t="s">
        <v>95</v>
      </c>
      <c r="H45" s="24" t="s">
        <v>1107</v>
      </c>
      <c r="I45" s="24" t="s">
        <v>73</v>
      </c>
      <c r="J45" s="24" t="s">
        <v>148</v>
      </c>
      <c r="K45" s="11" t="s">
        <v>1108</v>
      </c>
    </row>
    <row r="46" customFormat="false" ht="15.75" hidden="false" customHeight="true" outlineLevel="0" collapsed="false">
      <c r="B46" s="93" t="s">
        <v>1109</v>
      </c>
      <c r="C46" s="11" t="s">
        <v>1105</v>
      </c>
      <c r="D46" s="11" t="s">
        <v>1110</v>
      </c>
      <c r="E46" s="25" t="str">
        <f aca="false">"Sign-up → paid "&amp;TEXT('Planning Inputs'!$D$23,"0.0%")&amp;"; blended CAC ₹"&amp;TEXT('Revenue Model'!C89,"#,##0")</f>
        <v>Sign-up → paid 10.1%; blended CAC ₹54,812</v>
      </c>
      <c r="F46" s="27"/>
      <c r="G46" s="24" t="s">
        <v>1111</v>
      </c>
      <c r="H46" s="24" t="s">
        <v>1112</v>
      </c>
      <c r="I46" s="24" t="s">
        <v>73</v>
      </c>
      <c r="J46" s="24" t="s">
        <v>148</v>
      </c>
      <c r="K46" s="11"/>
    </row>
    <row r="47" customFormat="false" ht="15.75" hidden="false" customHeight="true" outlineLevel="0" collapsed="false">
      <c r="B47" s="93" t="s">
        <v>1113</v>
      </c>
      <c r="C47" s="11" t="s">
        <v>1105</v>
      </c>
      <c r="D47" s="11" t="s">
        <v>1114</v>
      </c>
      <c r="E47" s="25" t="str">
        <f aca="false">"TAM ₹"&amp;TEXT('Revenue Model'!D98,"#,##0")&amp;" cr / SAM ₹"&amp;TEXT('Revenue Model'!D99,"#,##0")&amp;" cr / SOM ₹"&amp;TEXT('Revenue Model'!D100,"#,##0.0")&amp;" cr"</f>
        <v>TAM ₹310 cr / SAM ₹93 cr / SOM ₹1.9 cr</v>
      </c>
      <c r="F47" s="27"/>
      <c r="G47" s="24" t="s">
        <v>1111</v>
      </c>
      <c r="H47" s="24" t="s">
        <v>1115</v>
      </c>
      <c r="I47" s="24" t="s">
        <v>72</v>
      </c>
      <c r="J47" s="24" t="s">
        <v>138</v>
      </c>
      <c r="K47" s="11" t="s">
        <v>1116</v>
      </c>
    </row>
    <row r="48" customFormat="false" ht="29.25" hidden="false" customHeight="true" outlineLevel="0" collapsed="false">
      <c r="B48" s="93" t="s">
        <v>1117</v>
      </c>
      <c r="C48" s="11" t="s">
        <v>1105</v>
      </c>
      <c r="D48" s="11" t="s">
        <v>1118</v>
      </c>
      <c r="E48" s="25" t="str">
        <f aca="false">"GST "&amp;TEXT('Planning Inputs'!$D$50,"0%")&amp;" on top; gateway "&amp;TEXT('Planning Inputs'!$D$51,"0%")&amp;" + GST; hosting ₹"&amp;TEXT('Planning Inputs'!$D$55,"#,##0")&amp;" / mo"</f>
        <v>GST 18% on top; gateway 2% + GST; hosting ₹8,000 / mo</v>
      </c>
      <c r="F48" s="27"/>
      <c r="G48" s="24" t="s">
        <v>95</v>
      </c>
      <c r="H48" s="24" t="s">
        <v>1099</v>
      </c>
      <c r="I48" s="24" t="s">
        <v>73</v>
      </c>
      <c r="J48" s="24" t="s">
        <v>148</v>
      </c>
      <c r="K48" s="11" t="s">
        <v>1119</v>
      </c>
    </row>
    <row r="49" customFormat="false" ht="29.25" hidden="false" customHeight="true" outlineLevel="0" collapsed="false">
      <c r="B49" s="93" t="s">
        <v>1120</v>
      </c>
      <c r="C49" s="11" t="s">
        <v>1121</v>
      </c>
      <c r="D49" s="11" t="s">
        <v>1122</v>
      </c>
      <c r="E49" s="26" t="n">
        <f aca="false">COUNTA('Competitive Positioning'!B8:B32)</f>
        <v>25</v>
      </c>
      <c r="F49" s="27" t="s">
        <v>1123</v>
      </c>
      <c r="G49" s="11" t="s">
        <v>1004</v>
      </c>
      <c r="H49" s="11" t="s">
        <v>1124</v>
      </c>
      <c r="I49" s="27" t="s">
        <v>71</v>
      </c>
      <c r="J49" s="27" t="s">
        <v>1125</v>
      </c>
      <c r="K49" s="11" t="s">
        <v>1126</v>
      </c>
    </row>
    <row r="50" customFormat="false" ht="15.75" hidden="false" customHeight="true" outlineLevel="0" collapsed="false">
      <c r="B50" s="93" t="s">
        <v>1127</v>
      </c>
      <c r="C50" s="11" t="s">
        <v>1121</v>
      </c>
      <c r="D50" s="11" t="s">
        <v>1128</v>
      </c>
      <c r="E50" s="26" t="n">
        <f aca="false">COUNTIF('Competitive Positioning'!L8:L32,"High")</f>
        <v>15</v>
      </c>
      <c r="F50" s="27" t="s">
        <v>1123</v>
      </c>
      <c r="G50" s="11" t="s">
        <v>1004</v>
      </c>
      <c r="H50" s="11" t="s">
        <v>1129</v>
      </c>
      <c r="I50" s="27" t="s">
        <v>72</v>
      </c>
      <c r="J50" s="27" t="s">
        <v>323</v>
      </c>
      <c r="K50" s="11"/>
    </row>
    <row r="51" customFormat="false" ht="15.75" hidden="false" customHeight="true" outlineLevel="0" collapsed="false">
      <c r="B51" s="93" t="s">
        <v>1130</v>
      </c>
      <c r="C51" s="11" t="s">
        <v>1121</v>
      </c>
      <c r="D51" s="11" t="s">
        <v>1131</v>
      </c>
      <c r="E51" s="26" t="n">
        <f aca="false">COUNTIF('Competitive Positioning'!L8:L32,"Low")+COUNTIF('Competitive Positioning'!L8:L32,"Dead")</f>
        <v>1</v>
      </c>
      <c r="F51" s="27" t="s">
        <v>1123</v>
      </c>
      <c r="G51" s="11" t="s">
        <v>1004</v>
      </c>
      <c r="H51" s="11" t="s">
        <v>1129</v>
      </c>
      <c r="I51" s="27" t="s">
        <v>72</v>
      </c>
      <c r="J51" s="27" t="s">
        <v>323</v>
      </c>
      <c r="K51" s="11"/>
    </row>
    <row r="52" customFormat="false" ht="29.25" hidden="false" customHeight="true" outlineLevel="0" collapsed="false">
      <c r="B52" s="93" t="s">
        <v>1132</v>
      </c>
      <c r="C52" s="11" t="s">
        <v>1121</v>
      </c>
      <c r="D52" s="11" t="s">
        <v>1133</v>
      </c>
      <c r="E52" s="35" t="s">
        <v>1134</v>
      </c>
      <c r="F52" s="27" t="s">
        <v>1135</v>
      </c>
      <c r="G52" s="11" t="s">
        <v>1004</v>
      </c>
      <c r="H52" s="11" t="s">
        <v>1136</v>
      </c>
      <c r="I52" s="27" t="s">
        <v>71</v>
      </c>
      <c r="J52" s="27" t="s">
        <v>323</v>
      </c>
      <c r="K52" s="11" t="s">
        <v>1137</v>
      </c>
    </row>
  </sheetData>
  <autoFilter ref="B5:K52"/>
  <mergeCells count="1">
    <mergeCell ref="B3:K3"/>
  </mergeCells>
  <conditionalFormatting sqref="I6:I52">
    <cfRule type="cellIs" priority="2" operator="equal" aboveAverage="0" equalAverage="0" bottom="0" percent="0" rank="0" text="" dxfId="1">
      <formula>"Documented"</formula>
    </cfRule>
    <cfRule type="cellIs" priority="3" operator="equal" aboveAverage="0" equalAverage="0" bottom="0" percent="0" rank="0" text="" dxfId="2">
      <formula>"Calculated"</formula>
    </cfRule>
    <cfRule type="cellIs" priority="4" operator="equal" aboveAverage="0" equalAverage="0" bottom="0" percent="0" rank="0" text="" dxfId="3">
      <formula>"Assumption"</formula>
    </cfRule>
    <cfRule type="cellIs" priority="5" operator="equal" aboveAverage="0" equalAverage="0" bottom="0" percent="0" rank="0" text="" dxfId="4">
      <formula>"Hypothesis"</formula>
    </cfRule>
    <cfRule type="cellIs" priority="6" operator="equal" aboveAverage="0" equalAverage="0" bottom="0" percent="0" rank="0" text="" dxfId="5">
      <formula>"TBD"</formula>
    </cfRule>
    <cfRule type="cellIs" priority="7" operator="equal" aboveAverage="0" equalAverage="0" bottom="0" percent="0" rank="0" text="" dxfId="6">
      <formula>"Contradicted"</formula>
    </cfRule>
  </conditionalFormatting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60"/>
    <col collapsed="false" customWidth="true" hidden="false" outlineLevel="0" max="6" min="6" style="1" width="46"/>
    <col collapsed="false" customWidth="true" hidden="false" outlineLevel="0" max="7" min="7" style="1" width="36"/>
    <col collapsed="false" customWidth="true" hidden="false" outlineLevel="0" max="8" min="8" style="0" width="44"/>
  </cols>
  <sheetData>
    <row r="2" customFormat="false" ht="27.75" hidden="false" customHeight="true" outlineLevel="0" collapsed="false">
      <c r="B2" s="2" t="s">
        <v>1138</v>
      </c>
    </row>
    <row r="3" customFormat="false" ht="19.5" hidden="false" customHeight="true" outlineLevel="0" collapsed="false">
      <c r="B3" s="3" t="s">
        <v>1139</v>
      </c>
      <c r="C3" s="3"/>
      <c r="D3" s="3"/>
      <c r="E3" s="3"/>
      <c r="F3" s="3"/>
      <c r="G3" s="3"/>
    </row>
    <row r="5" customFormat="false" ht="19.5" hidden="false" customHeight="true" outlineLevel="0" collapsed="false">
      <c r="B5" s="5" t="s">
        <v>100</v>
      </c>
      <c r="C5" s="5" t="s">
        <v>69</v>
      </c>
      <c r="D5" s="5" t="s">
        <v>3</v>
      </c>
      <c r="E5" s="5" t="s">
        <v>1140</v>
      </c>
      <c r="F5" s="5" t="s">
        <v>1141</v>
      </c>
      <c r="G5" s="5" t="s">
        <v>1142</v>
      </c>
      <c r="H5" s="95" t="s">
        <v>1143</v>
      </c>
    </row>
    <row r="6" customFormat="false" ht="69" hidden="false" customHeight="true" outlineLevel="0" collapsed="false">
      <c r="B6" s="7" t="s">
        <v>1144</v>
      </c>
      <c r="C6" s="11" t="s">
        <v>1145</v>
      </c>
      <c r="D6" s="11" t="s">
        <v>1146</v>
      </c>
      <c r="E6" s="11" t="s">
        <v>1147</v>
      </c>
      <c r="F6" s="11" t="s">
        <v>1148</v>
      </c>
      <c r="G6" s="11" t="s">
        <v>1149</v>
      </c>
      <c r="H6" s="24" t="s">
        <v>1150</v>
      </c>
    </row>
    <row r="7" customFormat="false" ht="55.5" hidden="false" customHeight="true" outlineLevel="0" collapsed="false">
      <c r="B7" s="7" t="s">
        <v>1151</v>
      </c>
      <c r="C7" s="11" t="s">
        <v>1145</v>
      </c>
      <c r="D7" s="11" t="s">
        <v>1152</v>
      </c>
      <c r="E7" s="11" t="s">
        <v>1153</v>
      </c>
      <c r="F7" s="11" t="s">
        <v>1154</v>
      </c>
      <c r="G7" s="11" t="s">
        <v>1155</v>
      </c>
      <c r="H7" s="24" t="s">
        <v>1150</v>
      </c>
    </row>
    <row r="8" customFormat="false" ht="42" hidden="false" customHeight="true" outlineLevel="0" collapsed="false">
      <c r="B8" s="7" t="s">
        <v>1156</v>
      </c>
      <c r="C8" s="11" t="s">
        <v>1145</v>
      </c>
      <c r="D8" s="11" t="s">
        <v>1157</v>
      </c>
      <c r="E8" s="11" t="s">
        <v>1158</v>
      </c>
      <c r="F8" s="11" t="s">
        <v>1159</v>
      </c>
      <c r="G8" s="11" t="s">
        <v>1160</v>
      </c>
      <c r="H8" s="24" t="s">
        <v>1150</v>
      </c>
    </row>
    <row r="9" customFormat="false" ht="42" hidden="false" customHeight="true" outlineLevel="0" collapsed="false">
      <c r="B9" s="7" t="s">
        <v>1161</v>
      </c>
      <c r="C9" s="11" t="s">
        <v>1162</v>
      </c>
      <c r="D9" s="11" t="s">
        <v>1163</v>
      </c>
      <c r="E9" s="11" t="s">
        <v>1164</v>
      </c>
      <c r="F9" s="11" t="s">
        <v>1165</v>
      </c>
      <c r="G9" s="11" t="s">
        <v>1166</v>
      </c>
      <c r="H9" s="24" t="s">
        <v>1167</v>
      </c>
    </row>
    <row r="10" customFormat="false" ht="55.5" hidden="false" customHeight="true" outlineLevel="0" collapsed="false">
      <c r="B10" s="7" t="s">
        <v>1168</v>
      </c>
      <c r="C10" s="11" t="s">
        <v>1145</v>
      </c>
      <c r="D10" s="11" t="s">
        <v>1169</v>
      </c>
      <c r="E10" s="11" t="s">
        <v>1170</v>
      </c>
      <c r="F10" s="11" t="s">
        <v>1171</v>
      </c>
      <c r="G10" s="11" t="s">
        <v>1172</v>
      </c>
      <c r="H10" s="24" t="s">
        <v>1150</v>
      </c>
    </row>
    <row r="11" customFormat="false" ht="42" hidden="false" customHeight="true" outlineLevel="0" collapsed="false">
      <c r="B11" s="7" t="s">
        <v>1173</v>
      </c>
      <c r="C11" s="11" t="s">
        <v>1174</v>
      </c>
      <c r="D11" s="11" t="s">
        <v>1175</v>
      </c>
      <c r="E11" s="11" t="s">
        <v>1176</v>
      </c>
      <c r="F11" s="11" t="s">
        <v>1177</v>
      </c>
      <c r="G11" s="11" t="s">
        <v>1178</v>
      </c>
      <c r="H11" s="24" t="s">
        <v>1150</v>
      </c>
    </row>
    <row r="12" customFormat="false" ht="29.25" hidden="false" customHeight="true" outlineLevel="0" collapsed="false">
      <c r="B12" s="7" t="s">
        <v>1179</v>
      </c>
      <c r="C12" s="11" t="s">
        <v>1174</v>
      </c>
      <c r="D12" s="11" t="s">
        <v>1180</v>
      </c>
      <c r="E12" s="11" t="s">
        <v>1181</v>
      </c>
      <c r="F12" s="11" t="s">
        <v>1182</v>
      </c>
      <c r="G12" s="11" t="s">
        <v>1183</v>
      </c>
      <c r="H12" s="24" t="s">
        <v>1150</v>
      </c>
    </row>
    <row r="13" customFormat="false" ht="29.25" hidden="false" customHeight="true" outlineLevel="0" collapsed="false">
      <c r="B13" s="7" t="s">
        <v>1184</v>
      </c>
      <c r="C13" s="11" t="s">
        <v>1185</v>
      </c>
      <c r="D13" s="11" t="s">
        <v>1186</v>
      </c>
      <c r="E13" s="11" t="s">
        <v>1187</v>
      </c>
      <c r="F13" s="11" t="s">
        <v>1188</v>
      </c>
      <c r="G13" s="11" t="s">
        <v>87</v>
      </c>
      <c r="H13" s="24" t="s">
        <v>1189</v>
      </c>
    </row>
    <row r="14" customFormat="false" ht="42" hidden="false" customHeight="true" outlineLevel="0" collapsed="false">
      <c r="B14" s="7" t="s">
        <v>1190</v>
      </c>
      <c r="C14" s="11" t="s">
        <v>1185</v>
      </c>
      <c r="D14" s="11" t="s">
        <v>1191</v>
      </c>
      <c r="E14" s="11" t="s">
        <v>1192</v>
      </c>
      <c r="F14" s="11" t="s">
        <v>1193</v>
      </c>
      <c r="G14" s="11" t="s">
        <v>1194</v>
      </c>
      <c r="H14" s="24" t="s">
        <v>1195</v>
      </c>
    </row>
    <row r="15" customFormat="false" ht="42" hidden="false" customHeight="true" outlineLevel="0" collapsed="false">
      <c r="B15" s="7" t="s">
        <v>1196</v>
      </c>
      <c r="C15" s="11" t="s">
        <v>1185</v>
      </c>
      <c r="D15" s="11" t="s">
        <v>1197</v>
      </c>
      <c r="E15" s="11" t="s">
        <v>1198</v>
      </c>
      <c r="F15" s="11" t="s">
        <v>1199</v>
      </c>
      <c r="G15" s="11" t="s">
        <v>1200</v>
      </c>
      <c r="H15" s="24" t="s">
        <v>1201</v>
      </c>
    </row>
    <row r="16" customFormat="false" ht="29.25" hidden="false" customHeight="true" outlineLevel="0" collapsed="false">
      <c r="B16" s="7" t="s">
        <v>1202</v>
      </c>
      <c r="C16" s="11" t="s">
        <v>1185</v>
      </c>
      <c r="D16" s="11" t="s">
        <v>1203</v>
      </c>
      <c r="E16" s="11" t="s">
        <v>1204</v>
      </c>
      <c r="F16" s="11" t="s">
        <v>1205</v>
      </c>
      <c r="G16" s="11" t="s">
        <v>1206</v>
      </c>
      <c r="H16" s="24" t="s">
        <v>1207</v>
      </c>
    </row>
    <row r="17" customFormat="false" ht="42" hidden="false" customHeight="true" outlineLevel="0" collapsed="false">
      <c r="B17" s="7" t="s">
        <v>1208</v>
      </c>
      <c r="C17" s="11" t="s">
        <v>1185</v>
      </c>
      <c r="D17" s="11" t="s">
        <v>1209</v>
      </c>
      <c r="E17" s="11" t="s">
        <v>1210</v>
      </c>
      <c r="F17" s="11" t="s">
        <v>1211</v>
      </c>
      <c r="G17" s="11" t="s">
        <v>1212</v>
      </c>
      <c r="H17" s="24" t="s">
        <v>1150</v>
      </c>
    </row>
    <row r="18" customFormat="false" ht="29.25" hidden="false" customHeight="true" outlineLevel="0" collapsed="false">
      <c r="B18" s="7" t="s">
        <v>1213</v>
      </c>
      <c r="C18" s="11" t="s">
        <v>1185</v>
      </c>
      <c r="D18" s="11" t="s">
        <v>1214</v>
      </c>
      <c r="E18" s="11" t="s">
        <v>1215</v>
      </c>
      <c r="F18" s="11" t="s">
        <v>1216</v>
      </c>
      <c r="G18" s="11" t="s">
        <v>1217</v>
      </c>
      <c r="H18" s="24" t="s">
        <v>1218</v>
      </c>
    </row>
    <row r="19" customFormat="false" ht="29.25" hidden="false" customHeight="true" outlineLevel="0" collapsed="false">
      <c r="B19" s="7" t="s">
        <v>1219</v>
      </c>
      <c r="C19" s="11" t="s">
        <v>1185</v>
      </c>
      <c r="D19" s="11" t="s">
        <v>1220</v>
      </c>
      <c r="E19" s="11" t="s">
        <v>1221</v>
      </c>
      <c r="F19" s="11" t="s">
        <v>1222</v>
      </c>
      <c r="G19" s="11" t="s">
        <v>1223</v>
      </c>
      <c r="H19" s="24" t="s">
        <v>1224</v>
      </c>
    </row>
    <row r="20" customFormat="false" ht="55.5" hidden="false" customHeight="true" outlineLevel="0" collapsed="false">
      <c r="B20" s="7" t="s">
        <v>1225</v>
      </c>
      <c r="C20" s="11" t="s">
        <v>1185</v>
      </c>
      <c r="D20" s="11" t="s">
        <v>1226</v>
      </c>
      <c r="E20" s="11" t="s">
        <v>1227</v>
      </c>
      <c r="F20" s="11" t="s">
        <v>1228</v>
      </c>
      <c r="G20" s="11" t="s">
        <v>89</v>
      </c>
      <c r="H20" s="24" t="s">
        <v>1229</v>
      </c>
    </row>
    <row r="21" customFormat="false" ht="55.5" hidden="false" customHeight="true" outlineLevel="0" collapsed="false">
      <c r="B21" s="7" t="s">
        <v>1230</v>
      </c>
      <c r="C21" s="11" t="s">
        <v>1231</v>
      </c>
      <c r="D21" s="11" t="s">
        <v>1232</v>
      </c>
      <c r="E21" s="11" t="s">
        <v>1233</v>
      </c>
      <c r="F21" s="11" t="s">
        <v>1234</v>
      </c>
      <c r="G21" s="11" t="s">
        <v>1235</v>
      </c>
      <c r="H21" s="24" t="s">
        <v>1150</v>
      </c>
    </row>
  </sheetData>
  <autoFilter ref="B5:G21"/>
  <mergeCells count="1">
    <mergeCell ref="B3:G3"/>
  </mergeCells>
  <conditionalFormatting sqref="C6:C21">
    <cfRule type="cellIs" priority="2" operator="equal" aboveAverage="0" equalAverage="0" bottom="0" percent="0" rank="0" text="" dxfId="6">
      <formula>"Contradiction"</formula>
    </cfRule>
    <cfRule type="cellIs" priority="3" operator="equal" aboveAverage="0" equalAverage="0" bottom="0" percent="0" rank="0" text="" dxfId="3">
      <formula>"Gap / tension"</formula>
    </cfRule>
    <cfRule type="cellIs" priority="4" operator="equal" aboveAverage="0" equalAverage="0" bottom="0" percent="0" rank="0" text="" dxfId="3">
      <formula>"Gap"</formula>
    </cfRule>
    <cfRule type="cellIs" priority="5" operator="equal" aboveAverage="0" equalAverage="0" bottom="0" percent="0" rank="0" text="" dxfId="5">
      <formula>"Missing"</formula>
    </cfRule>
    <cfRule type="cellIs" priority="6" operator="equal" aboveAverage="0" equalAverage="0" bottom="0" percent="0" rank="0" text="" dxfId="4">
      <formula>"Provenance note"</formula>
    </cfRule>
  </conditionalFormatting>
  <printOptions headings="false" gridLines="false" gridLinesSet="true" horizontalCentered="true" verticalCentered="false"/>
  <pageMargins left="0.4" right="0.4" top="0.55" bottom="0.55" header="0.25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&amp;K808080ImpactLens · GTM and Pricing Model</oddHeader>
    <oddFooter>&amp;L&amp;8 &amp;K808080&amp;A&amp;R&amp;8 &amp;K808080Page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2026-09-29T17:09:38Z</dcterms:created>
  <dc:creator>openpyxl</dc:creator>
  <dc:description/>
  <dc:language>en-IN</dc:language>
  <cp:lastModifiedBy/>
  <dcterms:modified xsi:type="dcterms:W3CDTF">2026-09-30T15:44:48Z</dcterms:modified>
  <cp:revision>0</cp:revision>
  <dc:subject/>
  <dc:title>ImpactLens GTM and Pricing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